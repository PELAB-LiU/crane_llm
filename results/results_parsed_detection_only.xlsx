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0" documentId="8_{7CD4FBE9-A113-4DE8-9928-BDE186D8DF93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Final_evaluation" sheetId="1" r:id="rId1"/>
    <sheet name="Results_summary" sheetId="2" r:id="rId2"/>
  </sheets>
  <definedNames>
    <definedName name="_xlnm._FilterDatabase" localSheetId="0" hidden="1">Final_evaluation!$A$1:$S$256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6" i="1" l="1" a="1"/>
  <c r="I246" i="1"/>
  <c r="I244" i="1" a="1"/>
  <c r="I244" i="1"/>
  <c r="J244" i="1" a="1"/>
  <c r="J244" i="1"/>
  <c r="B224" i="1" a="1"/>
  <c r="B224" i="1"/>
  <c r="B101" i="2"/>
  <c r="B90" i="2"/>
  <c r="B79" i="2"/>
  <c r="B67" i="2"/>
  <c r="B56" i="2"/>
  <c r="B45" i="2"/>
  <c r="S225" i="1" a="1"/>
  <c r="S225" i="1"/>
  <c r="J60" i="2" s="1"/>
  <c r="S226" i="1" a="1"/>
  <c r="S226" i="1"/>
  <c r="F61" i="2" s="1"/>
  <c r="S227" i="1" a="1"/>
  <c r="S227" i="1"/>
  <c r="J61" i="2" s="1"/>
  <c r="S228" i="1" a="1"/>
  <c r="S228" i="1"/>
  <c r="F62" i="2" s="1"/>
  <c r="S229" i="1" a="1"/>
  <c r="S229" i="1"/>
  <c r="J62" i="2" s="1"/>
  <c r="S230" i="1" a="1"/>
  <c r="S230" i="1"/>
  <c r="F63" i="2" s="1"/>
  <c r="S231" i="1" a="1"/>
  <c r="S231" i="1"/>
  <c r="J63" i="2" s="1"/>
  <c r="S232" i="1" a="1"/>
  <c r="S232" i="1"/>
  <c r="F64" i="2" s="1"/>
  <c r="S233" i="1" a="1"/>
  <c r="S233" i="1"/>
  <c r="J64" i="2" s="1"/>
  <c r="S234" i="1" a="1"/>
  <c r="S234" i="1"/>
  <c r="F65" i="2" s="1"/>
  <c r="S235" i="1" a="1"/>
  <c r="S235" i="1"/>
  <c r="J65" i="2" s="1"/>
  <c r="S236" i="1" a="1"/>
  <c r="S236" i="1"/>
  <c r="F66" i="2" s="1"/>
  <c r="S237" i="1" a="1"/>
  <c r="S237" i="1"/>
  <c r="J66" i="2" s="1"/>
  <c r="S224" i="1" a="1"/>
  <c r="S224" i="1"/>
  <c r="F60" i="2" s="1"/>
  <c r="Z60" i="2" s="1"/>
  <c r="R225" i="1" a="1"/>
  <c r="R225" i="1"/>
  <c r="I60" i="2" s="1"/>
  <c r="R226" i="1" a="1"/>
  <c r="R226" i="1"/>
  <c r="E61" i="2" s="1"/>
  <c r="R227" i="1" a="1"/>
  <c r="R227" i="1"/>
  <c r="I61" i="2" s="1"/>
  <c r="R228" i="1" a="1"/>
  <c r="R228" i="1"/>
  <c r="E62" i="2" s="1"/>
  <c r="R229" i="1" a="1"/>
  <c r="R229" i="1"/>
  <c r="I62" i="2" s="1"/>
  <c r="R230" i="1" a="1"/>
  <c r="R230" i="1"/>
  <c r="E63" i="2" s="1"/>
  <c r="R231" i="1" a="1"/>
  <c r="R231" i="1"/>
  <c r="I63" i="2" s="1"/>
  <c r="R232" i="1" a="1"/>
  <c r="R232" i="1"/>
  <c r="E64" i="2" s="1"/>
  <c r="R233" i="1" a="1"/>
  <c r="R233" i="1"/>
  <c r="I64" i="2" s="1"/>
  <c r="R234" i="1" a="1"/>
  <c r="R234" i="1"/>
  <c r="E65" i="2" s="1"/>
  <c r="R235" i="1" a="1"/>
  <c r="R235" i="1"/>
  <c r="I65" i="2" s="1"/>
  <c r="R236" i="1" a="1"/>
  <c r="R236" i="1"/>
  <c r="E66" i="2" s="1"/>
  <c r="R237" i="1" a="1"/>
  <c r="R237" i="1"/>
  <c r="I66" i="2" s="1"/>
  <c r="R224" i="1" a="1"/>
  <c r="R224" i="1"/>
  <c r="E60" i="2" s="1"/>
  <c r="Y60" i="2" s="1"/>
  <c r="Q225" i="1" a="1"/>
  <c r="Q225" i="1"/>
  <c r="H60" i="2" s="1"/>
  <c r="Q226" i="1" a="1"/>
  <c r="Q226" i="1"/>
  <c r="D61" i="2" s="1"/>
  <c r="Q227" i="1" a="1"/>
  <c r="Q227" i="1"/>
  <c r="H61" i="2" s="1"/>
  <c r="Q228" i="1" a="1"/>
  <c r="Q228" i="1"/>
  <c r="D62" i="2" s="1"/>
  <c r="Q229" i="1" a="1"/>
  <c r="Q229" i="1"/>
  <c r="H62" i="2" s="1"/>
  <c r="Q230" i="1" a="1"/>
  <c r="Q230" i="1"/>
  <c r="D63" i="2" s="1"/>
  <c r="Q231" i="1" a="1"/>
  <c r="Q231" i="1"/>
  <c r="H63" i="2" s="1"/>
  <c r="Q232" i="1" a="1"/>
  <c r="Q232" i="1"/>
  <c r="D64" i="2" s="1"/>
  <c r="Q233" i="1" a="1"/>
  <c r="Q233" i="1"/>
  <c r="H64" i="2" s="1"/>
  <c r="Q234" i="1" a="1"/>
  <c r="Q234" i="1"/>
  <c r="D65" i="2" s="1"/>
  <c r="Q235" i="1" a="1"/>
  <c r="Q235" i="1"/>
  <c r="H65" i="2" s="1"/>
  <c r="Q236" i="1" a="1"/>
  <c r="Q236" i="1"/>
  <c r="D66" i="2" s="1"/>
  <c r="Q237" i="1" a="1"/>
  <c r="Q237" i="1"/>
  <c r="H66" i="2" s="1"/>
  <c r="Q224" i="1" a="1"/>
  <c r="Q224" i="1"/>
  <c r="D60" i="2" s="1"/>
  <c r="X60" i="2" s="1"/>
  <c r="P225" i="1" a="1"/>
  <c r="P225" i="1"/>
  <c r="F94" i="2" s="1"/>
  <c r="P226" i="1" a="1"/>
  <c r="P226" i="1"/>
  <c r="D95" i="2" s="1"/>
  <c r="P227" i="1" a="1"/>
  <c r="P227" i="1"/>
  <c r="F95" i="2" s="1"/>
  <c r="P228" i="1" a="1"/>
  <c r="P228" i="1"/>
  <c r="D96" i="2" s="1"/>
  <c r="P229" i="1" a="1"/>
  <c r="P229" i="1"/>
  <c r="F96" i="2" s="1"/>
  <c r="P230" i="1" a="1"/>
  <c r="P230" i="1"/>
  <c r="D97" i="2" s="1"/>
  <c r="P231" i="1" a="1"/>
  <c r="P231" i="1"/>
  <c r="F97" i="2" s="1"/>
  <c r="P232" i="1" a="1"/>
  <c r="P232" i="1"/>
  <c r="D98" i="2" s="1"/>
  <c r="P233" i="1" a="1"/>
  <c r="P233" i="1"/>
  <c r="F98" i="2" s="1"/>
  <c r="P234" i="1" a="1"/>
  <c r="P234" i="1"/>
  <c r="D99" i="2" s="1"/>
  <c r="P235" i="1" a="1"/>
  <c r="P235" i="1"/>
  <c r="F99" i="2" s="1"/>
  <c r="P236" i="1" a="1"/>
  <c r="P236" i="1"/>
  <c r="D100" i="2" s="1"/>
  <c r="P237" i="1" a="1"/>
  <c r="P237" i="1"/>
  <c r="F100" i="2" s="1"/>
  <c r="P224" i="1" a="1"/>
  <c r="P224" i="1"/>
  <c r="D94" i="2" s="1"/>
  <c r="O225" i="1" a="1"/>
  <c r="O225" i="1"/>
  <c r="O226" i="1" a="1"/>
  <c r="O226" i="1"/>
  <c r="O227" i="1" a="1"/>
  <c r="O227" i="1"/>
  <c r="O228" i="1" a="1"/>
  <c r="O228" i="1"/>
  <c r="O229" i="1" a="1"/>
  <c r="O229" i="1"/>
  <c r="O230" i="1" a="1"/>
  <c r="O230" i="1"/>
  <c r="O231" i="1" a="1"/>
  <c r="O231" i="1"/>
  <c r="O232" i="1" a="1"/>
  <c r="O232" i="1"/>
  <c r="O233" i="1" a="1"/>
  <c r="O233" i="1"/>
  <c r="O234" i="1" a="1"/>
  <c r="O234" i="1"/>
  <c r="O235" i="1" a="1"/>
  <c r="O235" i="1"/>
  <c r="O236" i="1" a="1"/>
  <c r="O236" i="1"/>
  <c r="O237" i="1" a="1"/>
  <c r="O237" i="1"/>
  <c r="O224" i="1" a="1"/>
  <c r="O224" i="1"/>
  <c r="N225" i="1" a="1"/>
  <c r="N225" i="1"/>
  <c r="N226" i="1" a="1"/>
  <c r="N226" i="1"/>
  <c r="N227" i="1" a="1"/>
  <c r="N227" i="1"/>
  <c r="N228" i="1" a="1"/>
  <c r="N228" i="1"/>
  <c r="N229" i="1" a="1"/>
  <c r="N229" i="1"/>
  <c r="N230" i="1" a="1"/>
  <c r="N230" i="1"/>
  <c r="N231" i="1" a="1"/>
  <c r="N231" i="1"/>
  <c r="N232" i="1" a="1"/>
  <c r="N232" i="1"/>
  <c r="N233" i="1" a="1"/>
  <c r="N233" i="1"/>
  <c r="N234" i="1" a="1"/>
  <c r="N234" i="1"/>
  <c r="N235" i="1" a="1"/>
  <c r="N235" i="1"/>
  <c r="N236" i="1" a="1"/>
  <c r="N236" i="1"/>
  <c r="N237" i="1" a="1"/>
  <c r="N237" i="1"/>
  <c r="N224" i="1" a="1"/>
  <c r="N224" i="1"/>
  <c r="M225" i="1" a="1"/>
  <c r="M225" i="1"/>
  <c r="J49" i="2" s="1"/>
  <c r="M226" i="1" a="1"/>
  <c r="M226" i="1"/>
  <c r="F50" i="2" s="1"/>
  <c r="M227" i="1" a="1"/>
  <c r="M227" i="1"/>
  <c r="J50" i="2" s="1"/>
  <c r="M228" i="1" a="1"/>
  <c r="M228" i="1"/>
  <c r="F51" i="2" s="1"/>
  <c r="M229" i="1" a="1"/>
  <c r="M229" i="1"/>
  <c r="J51" i="2" s="1"/>
  <c r="M230" i="1" a="1"/>
  <c r="M230" i="1"/>
  <c r="F52" i="2" s="1"/>
  <c r="M231" i="1" a="1"/>
  <c r="M231" i="1"/>
  <c r="J52" i="2" s="1"/>
  <c r="M232" i="1" a="1"/>
  <c r="M232" i="1"/>
  <c r="F53" i="2" s="1"/>
  <c r="M233" i="1" a="1"/>
  <c r="M233" i="1"/>
  <c r="J53" i="2" s="1"/>
  <c r="M234" i="1" a="1"/>
  <c r="M234" i="1"/>
  <c r="F54" i="2" s="1"/>
  <c r="M235" i="1" a="1"/>
  <c r="M235" i="1"/>
  <c r="J54" i="2" s="1"/>
  <c r="M236" i="1" a="1"/>
  <c r="M236" i="1"/>
  <c r="F55" i="2" s="1"/>
  <c r="M237" i="1" a="1"/>
  <c r="M237" i="1"/>
  <c r="J55" i="2" s="1"/>
  <c r="M224" i="1" a="1"/>
  <c r="M224" i="1"/>
  <c r="F49" i="2" s="1"/>
  <c r="Z49" i="2" s="1"/>
  <c r="L225" i="1" a="1"/>
  <c r="L225" i="1"/>
  <c r="I49" i="2" s="1"/>
  <c r="L226" i="1" a="1"/>
  <c r="L226" i="1"/>
  <c r="E50" i="2" s="1"/>
  <c r="L227" i="1" a="1"/>
  <c r="L227" i="1"/>
  <c r="I50" i="2" s="1"/>
  <c r="L228" i="1" a="1"/>
  <c r="L228" i="1"/>
  <c r="E51" i="2" s="1"/>
  <c r="L229" i="1" a="1"/>
  <c r="L229" i="1"/>
  <c r="I51" i="2" s="1"/>
  <c r="L230" i="1" a="1"/>
  <c r="L230" i="1"/>
  <c r="E52" i="2" s="1"/>
  <c r="L231" i="1" a="1"/>
  <c r="L231" i="1"/>
  <c r="I52" i="2" s="1"/>
  <c r="L232" i="1" a="1"/>
  <c r="L232" i="1"/>
  <c r="E53" i="2" s="1"/>
  <c r="L233" i="1" a="1"/>
  <c r="L233" i="1"/>
  <c r="I53" i="2" s="1"/>
  <c r="L234" i="1" a="1"/>
  <c r="L234" i="1"/>
  <c r="E54" i="2" s="1"/>
  <c r="L235" i="1" a="1"/>
  <c r="L235" i="1"/>
  <c r="I54" i="2" s="1"/>
  <c r="L236" i="1" a="1"/>
  <c r="L236" i="1"/>
  <c r="E55" i="2" s="1"/>
  <c r="L237" i="1" a="1"/>
  <c r="L237" i="1"/>
  <c r="I55" i="2" s="1"/>
  <c r="L224" i="1" a="1"/>
  <c r="L224" i="1"/>
  <c r="E49" i="2" s="1"/>
  <c r="Y49" i="2" s="1"/>
  <c r="K225" i="1" a="1"/>
  <c r="K225" i="1"/>
  <c r="H49" i="2" s="1"/>
  <c r="K226" i="1" a="1"/>
  <c r="K226" i="1"/>
  <c r="D50" i="2" s="1"/>
  <c r="K227" i="1" a="1"/>
  <c r="K227" i="1"/>
  <c r="H50" i="2" s="1"/>
  <c r="K228" i="1" a="1"/>
  <c r="K228" i="1"/>
  <c r="D51" i="2" s="1"/>
  <c r="K229" i="1" a="1"/>
  <c r="K229" i="1"/>
  <c r="H51" i="2" s="1"/>
  <c r="K230" i="1" a="1"/>
  <c r="K230" i="1"/>
  <c r="D52" i="2" s="1"/>
  <c r="K231" i="1" a="1"/>
  <c r="K231" i="1"/>
  <c r="H52" i="2" s="1"/>
  <c r="K232" i="1" a="1"/>
  <c r="K232" i="1"/>
  <c r="D53" i="2" s="1"/>
  <c r="K233" i="1" a="1"/>
  <c r="K233" i="1"/>
  <c r="H53" i="2" s="1"/>
  <c r="K234" i="1" a="1"/>
  <c r="K234" i="1"/>
  <c r="D54" i="2" s="1"/>
  <c r="K235" i="1" a="1"/>
  <c r="K235" i="1"/>
  <c r="H54" i="2" s="1"/>
  <c r="K236" i="1" a="1"/>
  <c r="K236" i="1"/>
  <c r="D55" i="2" s="1"/>
  <c r="K237" i="1" a="1"/>
  <c r="K237" i="1"/>
  <c r="H55" i="2" s="1"/>
  <c r="K224" i="1" a="1"/>
  <c r="K224" i="1"/>
  <c r="D49" i="2" s="1"/>
  <c r="X49" i="2" s="1"/>
  <c r="J225" i="1" a="1"/>
  <c r="J225" i="1"/>
  <c r="F83" i="2" s="1"/>
  <c r="J226" i="1" a="1"/>
  <c r="J226" i="1"/>
  <c r="D84" i="2" s="1"/>
  <c r="J227" i="1" a="1"/>
  <c r="J227" i="1"/>
  <c r="F84" i="2" s="1"/>
  <c r="J228" i="1" a="1"/>
  <c r="J228" i="1"/>
  <c r="D85" i="2" s="1"/>
  <c r="J229" i="1" a="1"/>
  <c r="J229" i="1"/>
  <c r="F85" i="2" s="1"/>
  <c r="J230" i="1" a="1"/>
  <c r="J230" i="1"/>
  <c r="D86" i="2" s="1"/>
  <c r="J231" i="1" a="1"/>
  <c r="J231" i="1"/>
  <c r="F86" i="2" s="1"/>
  <c r="J232" i="1" a="1"/>
  <c r="J232" i="1"/>
  <c r="D87" i="2" s="1"/>
  <c r="J233" i="1" a="1"/>
  <c r="J233" i="1"/>
  <c r="F87" i="2" s="1"/>
  <c r="J234" i="1" a="1"/>
  <c r="J234" i="1"/>
  <c r="D88" i="2" s="1"/>
  <c r="J235" i="1" a="1"/>
  <c r="J235" i="1"/>
  <c r="F88" i="2" s="1"/>
  <c r="J236" i="1" a="1"/>
  <c r="J236" i="1"/>
  <c r="D89" i="2" s="1"/>
  <c r="J237" i="1" a="1"/>
  <c r="J237" i="1"/>
  <c r="F89" i="2" s="1"/>
  <c r="J224" i="1" a="1"/>
  <c r="J224" i="1"/>
  <c r="D83" i="2" s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24" i="1" a="1"/>
  <c r="I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24" i="1" a="1"/>
  <c r="H224" i="1"/>
  <c r="G225" i="1" a="1"/>
  <c r="G225" i="1"/>
  <c r="J38" i="2" s="1"/>
  <c r="R38" i="2" s="1"/>
  <c r="G226" i="1" a="1"/>
  <c r="G226" i="1"/>
  <c r="F39" i="2" s="1"/>
  <c r="G227" i="1" a="1"/>
  <c r="G227" i="1"/>
  <c r="J39" i="2" s="1"/>
  <c r="G228" i="1" a="1"/>
  <c r="G228" i="1"/>
  <c r="F40" i="2" s="1"/>
  <c r="G229" i="1" a="1"/>
  <c r="G229" i="1"/>
  <c r="J40" i="2" s="1"/>
  <c r="G230" i="1" a="1"/>
  <c r="G230" i="1"/>
  <c r="F41" i="2" s="1"/>
  <c r="G231" i="1" a="1"/>
  <c r="G231" i="1"/>
  <c r="J41" i="2" s="1"/>
  <c r="G232" i="1" a="1"/>
  <c r="G232" i="1"/>
  <c r="F42" i="2" s="1"/>
  <c r="G233" i="1" a="1"/>
  <c r="G233" i="1"/>
  <c r="J42" i="2" s="1"/>
  <c r="G234" i="1" a="1"/>
  <c r="G234" i="1"/>
  <c r="F43" i="2" s="1"/>
  <c r="G235" i="1" a="1"/>
  <c r="G235" i="1"/>
  <c r="J43" i="2" s="1"/>
  <c r="G236" i="1" a="1"/>
  <c r="G236" i="1"/>
  <c r="F44" i="2" s="1"/>
  <c r="G237" i="1" a="1"/>
  <c r="G237" i="1"/>
  <c r="J44" i="2" s="1"/>
  <c r="G224" i="1" a="1"/>
  <c r="G224" i="1"/>
  <c r="F38" i="2" s="1"/>
  <c r="Z38" i="2" s="1"/>
  <c r="F225" i="1" a="1"/>
  <c r="F225" i="1"/>
  <c r="I38" i="2" s="1"/>
  <c r="Q38" i="2" s="1"/>
  <c r="F226" i="1" a="1"/>
  <c r="F226" i="1"/>
  <c r="E39" i="2" s="1"/>
  <c r="F227" i="1" a="1"/>
  <c r="F227" i="1"/>
  <c r="I39" i="2" s="1"/>
  <c r="F228" i="1" a="1"/>
  <c r="F228" i="1"/>
  <c r="E40" i="2" s="1"/>
  <c r="F229" i="1" a="1"/>
  <c r="F229" i="1"/>
  <c r="I40" i="2" s="1"/>
  <c r="F230" i="1" a="1"/>
  <c r="F230" i="1"/>
  <c r="E41" i="2" s="1"/>
  <c r="F231" i="1" a="1"/>
  <c r="F231" i="1"/>
  <c r="I41" i="2" s="1"/>
  <c r="F232" i="1" a="1"/>
  <c r="F232" i="1"/>
  <c r="E42" i="2" s="1"/>
  <c r="F233" i="1" a="1"/>
  <c r="F233" i="1"/>
  <c r="I42" i="2" s="1"/>
  <c r="F234" i="1" a="1"/>
  <c r="F234" i="1"/>
  <c r="E43" i="2" s="1"/>
  <c r="F235" i="1" a="1"/>
  <c r="F235" i="1"/>
  <c r="I43" i="2" s="1"/>
  <c r="F236" i="1" a="1"/>
  <c r="F236" i="1"/>
  <c r="E44" i="2" s="1"/>
  <c r="F237" i="1" a="1"/>
  <c r="F237" i="1"/>
  <c r="I44" i="2" s="1"/>
  <c r="F224" i="1" a="1"/>
  <c r="F224" i="1"/>
  <c r="E38" i="2" s="1"/>
  <c r="Y38" i="2" s="1"/>
  <c r="E225" i="1" a="1"/>
  <c r="E225" i="1"/>
  <c r="H38" i="2" s="1"/>
  <c r="P38" i="2" s="1"/>
  <c r="E226" i="1" a="1"/>
  <c r="E226" i="1"/>
  <c r="D39" i="2" s="1"/>
  <c r="E227" i="1" a="1"/>
  <c r="E227" i="1"/>
  <c r="H39" i="2" s="1"/>
  <c r="E228" i="1" a="1"/>
  <c r="E228" i="1"/>
  <c r="D40" i="2" s="1"/>
  <c r="E229" i="1" a="1"/>
  <c r="E229" i="1"/>
  <c r="H40" i="2" s="1"/>
  <c r="E230" i="1" a="1"/>
  <c r="E230" i="1"/>
  <c r="D41" i="2" s="1"/>
  <c r="E231" i="1" a="1"/>
  <c r="E231" i="1"/>
  <c r="H41" i="2" s="1"/>
  <c r="E232" i="1" a="1"/>
  <c r="E232" i="1"/>
  <c r="D42" i="2" s="1"/>
  <c r="E233" i="1" a="1"/>
  <c r="E233" i="1"/>
  <c r="H42" i="2" s="1"/>
  <c r="E234" i="1" a="1"/>
  <c r="E234" i="1"/>
  <c r="D43" i="2" s="1"/>
  <c r="E235" i="1" a="1"/>
  <c r="E235" i="1"/>
  <c r="H43" i="2" s="1"/>
  <c r="E236" i="1" a="1"/>
  <c r="E236" i="1"/>
  <c r="D44" i="2" s="1"/>
  <c r="E237" i="1" a="1"/>
  <c r="E237" i="1"/>
  <c r="H44" i="2" s="1"/>
  <c r="E224" i="1" a="1"/>
  <c r="E224" i="1"/>
  <c r="D38" i="2" s="1"/>
  <c r="X38" i="2" s="1"/>
  <c r="D225" i="1" a="1"/>
  <c r="D225" i="1"/>
  <c r="F72" i="2" s="1"/>
  <c r="J72" i="2" s="1"/>
  <c r="D226" i="1" a="1"/>
  <c r="D226" i="1"/>
  <c r="D73" i="2" s="1"/>
  <c r="D227" i="1" a="1"/>
  <c r="D227" i="1"/>
  <c r="F73" i="2" s="1"/>
  <c r="D228" i="1" a="1"/>
  <c r="D228" i="1"/>
  <c r="D74" i="2" s="1"/>
  <c r="D229" i="1" a="1"/>
  <c r="D229" i="1"/>
  <c r="F74" i="2" s="1"/>
  <c r="D230" i="1" a="1"/>
  <c r="D230" i="1"/>
  <c r="D75" i="2" s="1"/>
  <c r="D231" i="1" a="1"/>
  <c r="D231" i="1"/>
  <c r="F75" i="2" s="1"/>
  <c r="D232" i="1" a="1"/>
  <c r="D232" i="1"/>
  <c r="D76" i="2" s="1"/>
  <c r="D233" i="1" a="1"/>
  <c r="D233" i="1"/>
  <c r="F76" i="2" s="1"/>
  <c r="D234" i="1" a="1"/>
  <c r="D234" i="1"/>
  <c r="D77" i="2" s="1"/>
  <c r="D235" i="1" a="1"/>
  <c r="D235" i="1"/>
  <c r="F77" i="2" s="1"/>
  <c r="D236" i="1" a="1"/>
  <c r="D236" i="1"/>
  <c r="D78" i="2" s="1"/>
  <c r="D237" i="1" a="1"/>
  <c r="D237" i="1"/>
  <c r="F78" i="2" s="1"/>
  <c r="D224" i="1" a="1"/>
  <c r="D224" i="1"/>
  <c r="D72" i="2" s="1"/>
  <c r="N72" i="2" s="1"/>
  <c r="C225" i="1" a="1"/>
  <c r="C225" i="1"/>
  <c r="C226" i="1" a="1"/>
  <c r="C226" i="1"/>
  <c r="C227" i="1" a="1"/>
  <c r="C227" i="1"/>
  <c r="C228" i="1" a="1"/>
  <c r="C228" i="1"/>
  <c r="C229" i="1" a="1"/>
  <c r="C229" i="1"/>
  <c r="C230" i="1" a="1"/>
  <c r="C230" i="1"/>
  <c r="C231" i="1" a="1"/>
  <c r="C231" i="1"/>
  <c r="C232" i="1" a="1"/>
  <c r="C232" i="1"/>
  <c r="C233" i="1" a="1"/>
  <c r="C233" i="1"/>
  <c r="C234" i="1" a="1"/>
  <c r="C234" i="1"/>
  <c r="C235" i="1" a="1"/>
  <c r="C235" i="1"/>
  <c r="C236" i="1" a="1"/>
  <c r="C236" i="1"/>
  <c r="C237" i="1" a="1"/>
  <c r="C237" i="1"/>
  <c r="C224" i="1" a="1"/>
  <c r="C224" i="1"/>
  <c r="B237" i="1" a="1"/>
  <c r="B237" i="1"/>
  <c r="B236" i="1" a="1"/>
  <c r="B236" i="1"/>
  <c r="B235" i="1" a="1"/>
  <c r="B235" i="1"/>
  <c r="B234" i="1" a="1"/>
  <c r="B234" i="1"/>
  <c r="B233" i="1" a="1"/>
  <c r="B233" i="1"/>
  <c r="B232" i="1" a="1"/>
  <c r="B232" i="1"/>
  <c r="B231" i="1" a="1"/>
  <c r="B231" i="1"/>
  <c r="B230" i="1" a="1"/>
  <c r="B230" i="1"/>
  <c r="B229" i="1" a="1"/>
  <c r="B229" i="1"/>
  <c r="B228" i="1" a="1"/>
  <c r="B228" i="1"/>
  <c r="B227" i="1" a="1"/>
  <c r="B227" i="1"/>
  <c r="B226" i="1" a="1"/>
  <c r="B226" i="1"/>
  <c r="B225" i="1" a="1"/>
  <c r="B225" i="1"/>
  <c r="B33" i="2"/>
  <c r="B22" i="2"/>
  <c r="B11" i="2"/>
  <c r="S240" i="1" a="1"/>
  <c r="S240" i="1"/>
  <c r="S241" i="1"/>
  <c r="S242" i="1" a="1"/>
  <c r="S242" i="1"/>
  <c r="S243" i="1"/>
  <c r="S244" i="1" a="1"/>
  <c r="S244" i="1"/>
  <c r="S245" i="1"/>
  <c r="S246" i="1" a="1"/>
  <c r="S246" i="1"/>
  <c r="S247" i="1"/>
  <c r="S248" i="1" a="1"/>
  <c r="S248" i="1"/>
  <c r="S249" i="1"/>
  <c r="S250" i="1" a="1"/>
  <c r="S250" i="1"/>
  <c r="S251" i="1"/>
  <c r="S254" i="1"/>
  <c r="S255" i="1" a="1"/>
  <c r="S255" i="1"/>
  <c r="S256" i="1" a="1"/>
  <c r="S256" i="1"/>
  <c r="S238" i="1" a="1"/>
  <c r="S238" i="1"/>
  <c r="S239" i="1" s="1"/>
  <c r="R240" i="1" a="1"/>
  <c r="R240" i="1"/>
  <c r="R241" i="1"/>
  <c r="R242" i="1" a="1"/>
  <c r="R242" i="1"/>
  <c r="R243" i="1"/>
  <c r="R244" i="1" a="1"/>
  <c r="R244" i="1"/>
  <c r="R245" i="1"/>
  <c r="R246" i="1" a="1"/>
  <c r="R246" i="1"/>
  <c r="R247" i="1"/>
  <c r="R248" i="1" a="1"/>
  <c r="R248" i="1"/>
  <c r="R249" i="1"/>
  <c r="R250" i="1" a="1"/>
  <c r="R250" i="1"/>
  <c r="R251" i="1"/>
  <c r="R254" i="1"/>
  <c r="R255" i="1" a="1"/>
  <c r="R255" i="1"/>
  <c r="R256" i="1" a="1"/>
  <c r="R256" i="1"/>
  <c r="R238" i="1" a="1"/>
  <c r="R238" i="1"/>
  <c r="R239" i="1" s="1"/>
  <c r="Q240" i="1" a="1"/>
  <c r="Q240" i="1"/>
  <c r="Q241" i="1"/>
  <c r="Q242" i="1" a="1"/>
  <c r="Q242" i="1"/>
  <c r="Q243" i="1"/>
  <c r="Q244" i="1" a="1"/>
  <c r="Q244" i="1"/>
  <c r="Q245" i="1"/>
  <c r="Q246" i="1" a="1"/>
  <c r="Q246" i="1"/>
  <c r="Q247" i="1"/>
  <c r="Q248" i="1" a="1"/>
  <c r="Q248" i="1"/>
  <c r="Q249" i="1"/>
  <c r="Q250" i="1" a="1"/>
  <c r="Q250" i="1"/>
  <c r="Q251" i="1"/>
  <c r="Q254" i="1"/>
  <c r="Q255" i="1" a="1"/>
  <c r="Q255" i="1"/>
  <c r="Q256" i="1" a="1"/>
  <c r="Q256" i="1"/>
  <c r="Q238" i="1" a="1"/>
  <c r="Q238" i="1"/>
  <c r="Q239" i="1" s="1"/>
  <c r="P240" i="1" a="1"/>
  <c r="P240" i="1"/>
  <c r="P241" i="1"/>
  <c r="P242" i="1" a="1"/>
  <c r="P242" i="1"/>
  <c r="P243" i="1"/>
  <c r="P244" i="1" a="1"/>
  <c r="P244" i="1"/>
  <c r="P245" i="1"/>
  <c r="P246" i="1" a="1"/>
  <c r="P246" i="1"/>
  <c r="P247" i="1"/>
  <c r="P248" i="1" a="1"/>
  <c r="P248" i="1"/>
  <c r="P249" i="1"/>
  <c r="P250" i="1" a="1"/>
  <c r="P250" i="1"/>
  <c r="P251" i="1"/>
  <c r="P254" i="1"/>
  <c r="P255" i="1" a="1"/>
  <c r="P255" i="1"/>
  <c r="P256" i="1" a="1"/>
  <c r="P256" i="1"/>
  <c r="P238" i="1" a="1"/>
  <c r="P238" i="1"/>
  <c r="P239" i="1" s="1"/>
  <c r="O240" i="1" a="1"/>
  <c r="O240" i="1"/>
  <c r="O241" i="1"/>
  <c r="O242" i="1" a="1"/>
  <c r="O242" i="1"/>
  <c r="O243" i="1"/>
  <c r="O244" i="1" a="1"/>
  <c r="O244" i="1"/>
  <c r="O245" i="1"/>
  <c r="O246" i="1" a="1"/>
  <c r="O246" i="1"/>
  <c r="O247" i="1"/>
  <c r="O248" i="1" a="1"/>
  <c r="O248" i="1"/>
  <c r="O249" i="1"/>
  <c r="O250" i="1" a="1"/>
  <c r="O250" i="1"/>
  <c r="O251" i="1"/>
  <c r="O254" i="1"/>
  <c r="O255" i="1" a="1"/>
  <c r="O255" i="1"/>
  <c r="O256" i="1" a="1"/>
  <c r="O256" i="1"/>
  <c r="O238" i="1" a="1"/>
  <c r="O238" i="1"/>
  <c r="N240" i="1" a="1"/>
  <c r="N240" i="1"/>
  <c r="N241" i="1"/>
  <c r="N242" i="1" a="1"/>
  <c r="N242" i="1"/>
  <c r="N243" i="1"/>
  <c r="N244" i="1" a="1"/>
  <c r="N244" i="1"/>
  <c r="N245" i="1"/>
  <c r="N246" i="1" a="1"/>
  <c r="N246" i="1"/>
  <c r="N247" i="1"/>
  <c r="N248" i="1" a="1"/>
  <c r="N248" i="1"/>
  <c r="N249" i="1"/>
  <c r="N250" i="1" a="1"/>
  <c r="N250" i="1"/>
  <c r="N251" i="1"/>
  <c r="N254" i="1"/>
  <c r="N255" i="1" a="1"/>
  <c r="N255" i="1"/>
  <c r="N256" i="1" a="1"/>
  <c r="N256" i="1"/>
  <c r="N238" i="1" a="1"/>
  <c r="N238" i="1"/>
  <c r="M240" i="1" a="1"/>
  <c r="M240" i="1"/>
  <c r="M241" i="1"/>
  <c r="M242" i="1" a="1"/>
  <c r="M242" i="1"/>
  <c r="M243" i="1"/>
  <c r="M244" i="1" a="1"/>
  <c r="M244" i="1"/>
  <c r="M245" i="1"/>
  <c r="M246" i="1" a="1"/>
  <c r="M246" i="1"/>
  <c r="M247" i="1"/>
  <c r="M248" i="1" a="1"/>
  <c r="M248" i="1"/>
  <c r="M249" i="1"/>
  <c r="M250" i="1" a="1"/>
  <c r="M250" i="1"/>
  <c r="M251" i="1"/>
  <c r="M254" i="1"/>
  <c r="M255" i="1" a="1"/>
  <c r="M255" i="1"/>
  <c r="M256" i="1" a="1"/>
  <c r="M256" i="1"/>
  <c r="M238" i="1" a="1"/>
  <c r="M238" i="1"/>
  <c r="M239" i="1" s="1"/>
  <c r="L240" i="1" a="1"/>
  <c r="L240" i="1"/>
  <c r="L241" i="1"/>
  <c r="L242" i="1" a="1"/>
  <c r="L242" i="1"/>
  <c r="L243" i="1"/>
  <c r="L244" i="1" a="1"/>
  <c r="L244" i="1"/>
  <c r="L245" i="1"/>
  <c r="L246" i="1" a="1"/>
  <c r="L246" i="1"/>
  <c r="L247" i="1"/>
  <c r="L248" i="1" a="1"/>
  <c r="L248" i="1"/>
  <c r="L249" i="1"/>
  <c r="L250" i="1" a="1"/>
  <c r="L250" i="1"/>
  <c r="L251" i="1"/>
  <c r="L254" i="1"/>
  <c r="L255" i="1" a="1"/>
  <c r="L255" i="1"/>
  <c r="L256" i="1" a="1"/>
  <c r="L256" i="1"/>
  <c r="L238" i="1" a="1"/>
  <c r="L238" i="1"/>
  <c r="L239" i="1" s="1"/>
  <c r="K240" i="1" a="1"/>
  <c r="K240" i="1"/>
  <c r="K241" i="1"/>
  <c r="K242" i="1" a="1"/>
  <c r="K242" i="1"/>
  <c r="K243" i="1"/>
  <c r="K244" i="1" a="1"/>
  <c r="K244" i="1"/>
  <c r="K245" i="1"/>
  <c r="K246" i="1" a="1"/>
  <c r="K246" i="1"/>
  <c r="K247" i="1"/>
  <c r="K248" i="1" a="1"/>
  <c r="K248" i="1"/>
  <c r="K249" i="1"/>
  <c r="K250" i="1" a="1"/>
  <c r="K250" i="1"/>
  <c r="K251" i="1"/>
  <c r="K254" i="1"/>
  <c r="K255" i="1" a="1"/>
  <c r="K255" i="1"/>
  <c r="K256" i="1" a="1"/>
  <c r="K256" i="1"/>
  <c r="K238" i="1" a="1"/>
  <c r="K238" i="1"/>
  <c r="K239" i="1" s="1"/>
  <c r="J240" i="1" a="1"/>
  <c r="J240" i="1"/>
  <c r="J241" i="1"/>
  <c r="J242" i="1" a="1"/>
  <c r="J242" i="1"/>
  <c r="J243" i="1"/>
  <c r="J245" i="1"/>
  <c r="J246" i="1" a="1"/>
  <c r="J246" i="1"/>
  <c r="J247" i="1"/>
  <c r="J248" i="1" a="1"/>
  <c r="J248" i="1"/>
  <c r="J249" i="1"/>
  <c r="J250" i="1" a="1"/>
  <c r="J250" i="1"/>
  <c r="J251" i="1"/>
  <c r="J254" i="1"/>
  <c r="J255" i="1" a="1"/>
  <c r="J255" i="1"/>
  <c r="J256" i="1" a="1"/>
  <c r="J256" i="1"/>
  <c r="J238" i="1" a="1"/>
  <c r="J238" i="1"/>
  <c r="I240" i="1" a="1"/>
  <c r="I240" i="1"/>
  <c r="I241" i="1"/>
  <c r="I242" i="1" a="1"/>
  <c r="I242" i="1"/>
  <c r="I243" i="1"/>
  <c r="I245" i="1"/>
  <c r="I247" i="1"/>
  <c r="I248" i="1" a="1"/>
  <c r="I248" i="1"/>
  <c r="I249" i="1"/>
  <c r="I250" i="1" a="1"/>
  <c r="I250" i="1"/>
  <c r="I251" i="1"/>
  <c r="I254" i="1"/>
  <c r="I255" i="1" a="1"/>
  <c r="I255" i="1"/>
  <c r="I256" i="1" a="1"/>
  <c r="I256" i="1"/>
  <c r="I238" i="1" a="1"/>
  <c r="I238" i="1"/>
  <c r="H240" i="1" a="1"/>
  <c r="H240" i="1"/>
  <c r="H241" i="1"/>
  <c r="H242" i="1" a="1"/>
  <c r="H242" i="1"/>
  <c r="H243" i="1"/>
  <c r="H244" i="1" a="1"/>
  <c r="H244" i="1"/>
  <c r="H245" i="1"/>
  <c r="H246" i="1" a="1"/>
  <c r="H246" i="1"/>
  <c r="H247" i="1"/>
  <c r="H248" i="1" a="1"/>
  <c r="H248" i="1"/>
  <c r="H249" i="1"/>
  <c r="H250" i="1" a="1"/>
  <c r="H250" i="1"/>
  <c r="H251" i="1"/>
  <c r="H254" i="1"/>
  <c r="H255" i="1" a="1"/>
  <c r="H255" i="1"/>
  <c r="H256" i="1" a="1"/>
  <c r="H256" i="1"/>
  <c r="H238" i="1" a="1"/>
  <c r="H238" i="1"/>
  <c r="G255" i="1" a="1"/>
  <c r="G255" i="1"/>
  <c r="G256" i="1" a="1"/>
  <c r="G256" i="1"/>
  <c r="G254" i="1"/>
  <c r="F255" i="1" a="1"/>
  <c r="F255" i="1"/>
  <c r="F256" i="1" a="1"/>
  <c r="F256" i="1"/>
  <c r="F254" i="1"/>
  <c r="E255" i="1" a="1"/>
  <c r="E255" i="1"/>
  <c r="E256" i="1" a="1"/>
  <c r="E256" i="1"/>
  <c r="E254" i="1"/>
  <c r="B254" i="1"/>
  <c r="B250" i="1" a="1"/>
  <c r="B250" i="1"/>
  <c r="B248" i="1" a="1"/>
  <c r="B248" i="1"/>
  <c r="B246" i="1" a="1"/>
  <c r="B246" i="1"/>
  <c r="B244" i="1" a="1"/>
  <c r="B244" i="1"/>
  <c r="B242" i="1" a="1"/>
  <c r="B242" i="1"/>
  <c r="B240" i="1" a="1"/>
  <c r="B240" i="1"/>
  <c r="B238" i="1" a="1"/>
  <c r="B238" i="1"/>
  <c r="B256" i="1" a="1"/>
  <c r="B256" i="1"/>
  <c r="B255" i="1" a="1"/>
  <c r="B255" i="1"/>
  <c r="D255" i="1" a="1"/>
  <c r="D255" i="1"/>
  <c r="D256" i="1" a="1"/>
  <c r="D256" i="1"/>
  <c r="D254" i="1"/>
  <c r="C255" i="1" a="1"/>
  <c r="C255" i="1"/>
  <c r="C256" i="1" a="1"/>
  <c r="C256" i="1"/>
  <c r="C254" i="1"/>
  <c r="G240" i="1" a="1"/>
  <c r="G240" i="1"/>
  <c r="G241" i="1"/>
  <c r="G242" i="1" a="1"/>
  <c r="G242" i="1"/>
  <c r="G243" i="1"/>
  <c r="G244" i="1" a="1"/>
  <c r="G244" i="1"/>
  <c r="G245" i="1"/>
  <c r="G246" i="1" a="1"/>
  <c r="G246" i="1"/>
  <c r="G247" i="1"/>
  <c r="G248" i="1" a="1"/>
  <c r="G248" i="1"/>
  <c r="G249" i="1"/>
  <c r="G250" i="1" a="1"/>
  <c r="G250" i="1"/>
  <c r="G251" i="1"/>
  <c r="G238" i="1" a="1"/>
  <c r="G238" i="1"/>
  <c r="G239" i="1" s="1"/>
  <c r="F240" i="1" a="1"/>
  <c r="F240" i="1"/>
  <c r="F241" i="1"/>
  <c r="F242" i="1" a="1"/>
  <c r="F242" i="1"/>
  <c r="F243" i="1"/>
  <c r="F244" i="1" a="1"/>
  <c r="F244" i="1"/>
  <c r="F245" i="1"/>
  <c r="F246" i="1" a="1"/>
  <c r="F246" i="1"/>
  <c r="F247" i="1"/>
  <c r="F248" i="1" a="1"/>
  <c r="F248" i="1"/>
  <c r="F249" i="1"/>
  <c r="F250" i="1" a="1"/>
  <c r="F250" i="1"/>
  <c r="F251" i="1"/>
  <c r="F238" i="1" a="1"/>
  <c r="F238" i="1"/>
  <c r="E240" i="1" a="1"/>
  <c r="E240" i="1"/>
  <c r="E241" i="1"/>
  <c r="E242" i="1" a="1"/>
  <c r="E242" i="1"/>
  <c r="E243" i="1"/>
  <c r="E244" i="1" a="1"/>
  <c r="E244" i="1"/>
  <c r="E245" i="1"/>
  <c r="E246" i="1" a="1"/>
  <c r="E246" i="1"/>
  <c r="E247" i="1"/>
  <c r="E248" i="1" a="1"/>
  <c r="E248" i="1"/>
  <c r="E249" i="1"/>
  <c r="E250" i="1" a="1"/>
  <c r="E250" i="1"/>
  <c r="E251" i="1"/>
  <c r="E238" i="1" a="1"/>
  <c r="E238" i="1"/>
  <c r="D240" i="1" a="1"/>
  <c r="D240" i="1"/>
  <c r="D241" i="1"/>
  <c r="D242" i="1" a="1"/>
  <c r="D242" i="1"/>
  <c r="D243" i="1"/>
  <c r="D244" i="1" a="1"/>
  <c r="D244" i="1"/>
  <c r="D245" i="1"/>
  <c r="D246" i="1" a="1"/>
  <c r="D246" i="1"/>
  <c r="D247" i="1"/>
  <c r="D248" i="1" a="1"/>
  <c r="D248" i="1"/>
  <c r="D249" i="1"/>
  <c r="D250" i="1" a="1"/>
  <c r="D250" i="1"/>
  <c r="D251" i="1"/>
  <c r="D238" i="1" a="1"/>
  <c r="D238" i="1"/>
  <c r="C240" i="1" a="1"/>
  <c r="C240" i="1"/>
  <c r="C241" i="1"/>
  <c r="C242" i="1" a="1"/>
  <c r="C242" i="1"/>
  <c r="C243" i="1"/>
  <c r="C244" i="1" a="1"/>
  <c r="C244" i="1"/>
  <c r="C245" i="1"/>
  <c r="C246" i="1" a="1"/>
  <c r="C246" i="1"/>
  <c r="C247" i="1"/>
  <c r="C248" i="1" a="1"/>
  <c r="C248" i="1"/>
  <c r="C249" i="1"/>
  <c r="C250" i="1" a="1"/>
  <c r="C250" i="1"/>
  <c r="C251" i="1"/>
  <c r="C238" i="1" a="1"/>
  <c r="C238" i="1"/>
  <c r="J239" i="1" l="1"/>
  <c r="J252" i="1"/>
  <c r="J253" i="1" s="1"/>
  <c r="H72" i="2"/>
  <c r="L72" i="2" s="1"/>
  <c r="E78" i="2"/>
  <c r="E77" i="2"/>
  <c r="E76" i="2"/>
  <c r="E75" i="2"/>
  <c r="E74" i="2"/>
  <c r="E73" i="2"/>
  <c r="E72" i="2"/>
  <c r="E89" i="2"/>
  <c r="E88" i="2"/>
  <c r="E87" i="2"/>
  <c r="E86" i="2"/>
  <c r="E85" i="2"/>
  <c r="E84" i="2"/>
  <c r="E83" i="2"/>
  <c r="E100" i="2"/>
  <c r="E99" i="2"/>
  <c r="E98" i="2"/>
  <c r="E97" i="2"/>
  <c r="E96" i="2"/>
  <c r="E95" i="2"/>
  <c r="E94" i="2"/>
  <c r="C72" i="2"/>
  <c r="M72" i="2" s="1"/>
  <c r="N78" i="2"/>
  <c r="C78" i="2"/>
  <c r="M78" i="2" s="1"/>
  <c r="N77" i="2"/>
  <c r="C77" i="2"/>
  <c r="M77" i="2" s="1"/>
  <c r="N76" i="2"/>
  <c r="C76" i="2"/>
  <c r="M76" i="2" s="1"/>
  <c r="N75" i="2"/>
  <c r="C75" i="2"/>
  <c r="M75" i="2" s="1"/>
  <c r="N74" i="2"/>
  <c r="C74" i="2"/>
  <c r="M74" i="2" s="1"/>
  <c r="N73" i="2"/>
  <c r="C73" i="2"/>
  <c r="M73" i="2" s="1"/>
  <c r="N83" i="2"/>
  <c r="C83" i="2"/>
  <c r="M83" i="2" s="1"/>
  <c r="N89" i="2"/>
  <c r="C89" i="2"/>
  <c r="M89" i="2" s="1"/>
  <c r="N88" i="2"/>
  <c r="C88" i="2"/>
  <c r="M88" i="2" s="1"/>
  <c r="N87" i="2"/>
  <c r="C87" i="2"/>
  <c r="M87" i="2" s="1"/>
  <c r="N86" i="2"/>
  <c r="C86" i="2"/>
  <c r="M86" i="2" s="1"/>
  <c r="N85" i="2"/>
  <c r="C85" i="2"/>
  <c r="M85" i="2" s="1"/>
  <c r="N84" i="2"/>
  <c r="C84" i="2"/>
  <c r="M84" i="2" s="1"/>
  <c r="N94" i="2"/>
  <c r="C94" i="2"/>
  <c r="M94" i="2" s="1"/>
  <c r="N100" i="2"/>
  <c r="C100" i="2"/>
  <c r="M100" i="2" s="1"/>
  <c r="N99" i="2"/>
  <c r="C99" i="2"/>
  <c r="M99" i="2" s="1"/>
  <c r="N98" i="2"/>
  <c r="C98" i="2"/>
  <c r="M98" i="2" s="1"/>
  <c r="N97" i="2"/>
  <c r="C97" i="2"/>
  <c r="M97" i="2" s="1"/>
  <c r="N96" i="2"/>
  <c r="C96" i="2"/>
  <c r="M96" i="2" s="1"/>
  <c r="N95" i="2"/>
  <c r="C95" i="2"/>
  <c r="M95" i="2" s="1"/>
  <c r="D79" i="2"/>
  <c r="F79" i="2"/>
  <c r="D90" i="2"/>
  <c r="F90" i="2"/>
  <c r="D101" i="2"/>
  <c r="F101" i="2"/>
  <c r="P66" i="2"/>
  <c r="L66" i="2"/>
  <c r="T66" i="2" s="1"/>
  <c r="X66" i="2"/>
  <c r="P65" i="2"/>
  <c r="L65" i="2"/>
  <c r="T65" i="2" s="1"/>
  <c r="X65" i="2"/>
  <c r="P64" i="2"/>
  <c r="L64" i="2"/>
  <c r="T64" i="2" s="1"/>
  <c r="X64" i="2"/>
  <c r="P63" i="2"/>
  <c r="L63" i="2"/>
  <c r="T63" i="2" s="1"/>
  <c r="X63" i="2"/>
  <c r="P62" i="2"/>
  <c r="L62" i="2"/>
  <c r="T62" i="2" s="1"/>
  <c r="X62" i="2"/>
  <c r="P61" i="2"/>
  <c r="L61" i="2"/>
  <c r="T61" i="2" s="1"/>
  <c r="X61" i="2"/>
  <c r="P60" i="2"/>
  <c r="L60" i="2"/>
  <c r="T60" i="2" s="1"/>
  <c r="Q66" i="2"/>
  <c r="M66" i="2"/>
  <c r="U66" i="2" s="1"/>
  <c r="Y66" i="2"/>
  <c r="Q65" i="2"/>
  <c r="M65" i="2"/>
  <c r="U65" i="2" s="1"/>
  <c r="Y65" i="2"/>
  <c r="Q64" i="2"/>
  <c r="M64" i="2"/>
  <c r="U64" i="2" s="1"/>
  <c r="Y64" i="2"/>
  <c r="Q63" i="2"/>
  <c r="M63" i="2"/>
  <c r="U63" i="2" s="1"/>
  <c r="Y63" i="2"/>
  <c r="Q62" i="2"/>
  <c r="M62" i="2"/>
  <c r="U62" i="2" s="1"/>
  <c r="Y62" i="2"/>
  <c r="Q61" i="2"/>
  <c r="M61" i="2"/>
  <c r="U61" i="2" s="1"/>
  <c r="Y61" i="2"/>
  <c r="Q60" i="2"/>
  <c r="M60" i="2"/>
  <c r="U60" i="2" s="1"/>
  <c r="R66" i="2"/>
  <c r="N66" i="2"/>
  <c r="V66" i="2" s="1"/>
  <c r="Z66" i="2"/>
  <c r="R65" i="2"/>
  <c r="N65" i="2"/>
  <c r="V65" i="2" s="1"/>
  <c r="Z65" i="2"/>
  <c r="R64" i="2"/>
  <c r="N64" i="2"/>
  <c r="V64" i="2" s="1"/>
  <c r="Z64" i="2"/>
  <c r="R63" i="2"/>
  <c r="N63" i="2"/>
  <c r="V63" i="2" s="1"/>
  <c r="Z63" i="2"/>
  <c r="R62" i="2"/>
  <c r="N62" i="2"/>
  <c r="V62" i="2" s="1"/>
  <c r="Z62" i="2"/>
  <c r="R61" i="2"/>
  <c r="N61" i="2"/>
  <c r="V61" i="2" s="1"/>
  <c r="Z61" i="2"/>
  <c r="R60" i="2"/>
  <c r="N60" i="2"/>
  <c r="V60" i="2" s="1"/>
  <c r="P55" i="2"/>
  <c r="L55" i="2"/>
  <c r="T55" i="2" s="1"/>
  <c r="X55" i="2"/>
  <c r="P54" i="2"/>
  <c r="L54" i="2"/>
  <c r="T54" i="2" s="1"/>
  <c r="X54" i="2"/>
  <c r="P53" i="2"/>
  <c r="L53" i="2"/>
  <c r="T53" i="2" s="1"/>
  <c r="X53" i="2"/>
  <c r="P52" i="2"/>
  <c r="L52" i="2"/>
  <c r="T52" i="2" s="1"/>
  <c r="X52" i="2"/>
  <c r="P51" i="2"/>
  <c r="L51" i="2"/>
  <c r="T51" i="2" s="1"/>
  <c r="X51" i="2"/>
  <c r="P50" i="2"/>
  <c r="L50" i="2"/>
  <c r="T50" i="2" s="1"/>
  <c r="X50" i="2"/>
  <c r="P49" i="2"/>
  <c r="L49" i="2"/>
  <c r="T49" i="2" s="1"/>
  <c r="Q55" i="2"/>
  <c r="M55" i="2"/>
  <c r="U55" i="2" s="1"/>
  <c r="Y55" i="2"/>
  <c r="Q54" i="2"/>
  <c r="M54" i="2"/>
  <c r="U54" i="2" s="1"/>
  <c r="Y54" i="2"/>
  <c r="Q53" i="2"/>
  <c r="M53" i="2"/>
  <c r="U53" i="2" s="1"/>
  <c r="Y53" i="2"/>
  <c r="Q52" i="2"/>
  <c r="M52" i="2"/>
  <c r="U52" i="2" s="1"/>
  <c r="Y52" i="2"/>
  <c r="Q51" i="2"/>
  <c r="M51" i="2"/>
  <c r="U51" i="2" s="1"/>
  <c r="Y51" i="2"/>
  <c r="Q50" i="2"/>
  <c r="M50" i="2"/>
  <c r="U50" i="2" s="1"/>
  <c r="Y50" i="2"/>
  <c r="Q49" i="2"/>
  <c r="M49" i="2"/>
  <c r="U49" i="2" s="1"/>
  <c r="R55" i="2"/>
  <c r="N55" i="2"/>
  <c r="V55" i="2" s="1"/>
  <c r="Z55" i="2"/>
  <c r="R54" i="2"/>
  <c r="N54" i="2"/>
  <c r="V54" i="2" s="1"/>
  <c r="Z54" i="2"/>
  <c r="R53" i="2"/>
  <c r="N53" i="2"/>
  <c r="V53" i="2" s="1"/>
  <c r="Z53" i="2"/>
  <c r="R52" i="2"/>
  <c r="N52" i="2"/>
  <c r="V52" i="2" s="1"/>
  <c r="Z52" i="2"/>
  <c r="R51" i="2"/>
  <c r="N51" i="2"/>
  <c r="V51" i="2" s="1"/>
  <c r="Z51" i="2"/>
  <c r="R50" i="2"/>
  <c r="N50" i="2"/>
  <c r="V50" i="2" s="1"/>
  <c r="Z50" i="2"/>
  <c r="R49" i="2"/>
  <c r="N49" i="2"/>
  <c r="V49" i="2" s="1"/>
  <c r="L44" i="2"/>
  <c r="P44" i="2"/>
  <c r="X44" i="2"/>
  <c r="L43" i="2"/>
  <c r="P43" i="2"/>
  <c r="X43" i="2"/>
  <c r="L42" i="2"/>
  <c r="P42" i="2"/>
  <c r="X42" i="2"/>
  <c r="L41" i="2"/>
  <c r="P41" i="2"/>
  <c r="X41" i="2"/>
  <c r="L40" i="2"/>
  <c r="P40" i="2"/>
  <c r="X40" i="2"/>
  <c r="L39" i="2"/>
  <c r="P39" i="2"/>
  <c r="X39" i="2"/>
  <c r="M44" i="2"/>
  <c r="Q44" i="2"/>
  <c r="Y44" i="2"/>
  <c r="M43" i="2"/>
  <c r="Q43" i="2"/>
  <c r="Y43" i="2"/>
  <c r="M42" i="2"/>
  <c r="Q42" i="2"/>
  <c r="Y42" i="2"/>
  <c r="M41" i="2"/>
  <c r="Q41" i="2"/>
  <c r="Y41" i="2"/>
  <c r="M40" i="2"/>
  <c r="Q40" i="2"/>
  <c r="Y40" i="2"/>
  <c r="M39" i="2"/>
  <c r="Q39" i="2"/>
  <c r="Y39" i="2"/>
  <c r="N44" i="2"/>
  <c r="R44" i="2"/>
  <c r="Z44" i="2"/>
  <c r="N43" i="2"/>
  <c r="R43" i="2"/>
  <c r="Z43" i="2"/>
  <c r="N42" i="2"/>
  <c r="R42" i="2"/>
  <c r="Z42" i="2"/>
  <c r="N41" i="2"/>
  <c r="R41" i="2"/>
  <c r="Z41" i="2"/>
  <c r="N40" i="2"/>
  <c r="R40" i="2"/>
  <c r="Z40" i="2"/>
  <c r="N39" i="2"/>
  <c r="R39" i="2"/>
  <c r="Z39" i="2"/>
  <c r="N38" i="2"/>
  <c r="V38" i="2" s="1"/>
  <c r="M38" i="2"/>
  <c r="U38" i="2" s="1"/>
  <c r="L38" i="2"/>
  <c r="T38" i="2" s="1"/>
  <c r="G66" i="2"/>
  <c r="G65" i="2"/>
  <c r="G64" i="2"/>
  <c r="G63" i="2"/>
  <c r="G62" i="2"/>
  <c r="G61" i="2"/>
  <c r="G60" i="2"/>
  <c r="J67" i="2"/>
  <c r="I67" i="2"/>
  <c r="C60" i="2"/>
  <c r="W60" i="2" s="1"/>
  <c r="C66" i="2"/>
  <c r="W66" i="2" s="1"/>
  <c r="C65" i="2"/>
  <c r="W65" i="2" s="1"/>
  <c r="C64" i="2"/>
  <c r="W64" i="2" s="1"/>
  <c r="C63" i="2"/>
  <c r="W63" i="2" s="1"/>
  <c r="C62" i="2"/>
  <c r="W62" i="2" s="1"/>
  <c r="C61" i="2"/>
  <c r="W61" i="2" s="1"/>
  <c r="G55" i="2"/>
  <c r="G54" i="2"/>
  <c r="G53" i="2"/>
  <c r="G52" i="2"/>
  <c r="G51" i="2"/>
  <c r="G50" i="2"/>
  <c r="G49" i="2"/>
  <c r="J56" i="2"/>
  <c r="I56" i="2"/>
  <c r="C49" i="2"/>
  <c r="W49" i="2" s="1"/>
  <c r="C55" i="2"/>
  <c r="W55" i="2" s="1"/>
  <c r="C54" i="2"/>
  <c r="W54" i="2" s="1"/>
  <c r="C53" i="2"/>
  <c r="W53" i="2" s="1"/>
  <c r="C52" i="2"/>
  <c r="W52" i="2" s="1"/>
  <c r="C51" i="2"/>
  <c r="W51" i="2" s="1"/>
  <c r="C50" i="2"/>
  <c r="W50" i="2" s="1"/>
  <c r="G44" i="2"/>
  <c r="G43" i="2"/>
  <c r="G42" i="2"/>
  <c r="G41" i="2"/>
  <c r="G40" i="2"/>
  <c r="G39" i="2"/>
  <c r="G38" i="2"/>
  <c r="O38" i="2" s="1"/>
  <c r="J45" i="2"/>
  <c r="I45" i="2"/>
  <c r="C38" i="2"/>
  <c r="W38" i="2" s="1"/>
  <c r="C44" i="2"/>
  <c r="W44" i="2" s="1"/>
  <c r="C43" i="2"/>
  <c r="W43" i="2" s="1"/>
  <c r="C42" i="2"/>
  <c r="W42" i="2" s="1"/>
  <c r="C41" i="2"/>
  <c r="W41" i="2" s="1"/>
  <c r="C40" i="2"/>
  <c r="W40" i="2" s="1"/>
  <c r="C39" i="2"/>
  <c r="W39" i="2" s="1"/>
  <c r="C67" i="2"/>
  <c r="C56" i="2"/>
  <c r="C45" i="2"/>
  <c r="G45" i="2"/>
  <c r="G56" i="2"/>
  <c r="G67" i="2"/>
  <c r="C4" i="2"/>
  <c r="E4" i="2"/>
  <c r="C5" i="2"/>
  <c r="E5" i="2"/>
  <c r="C6" i="2"/>
  <c r="E6" i="2"/>
  <c r="C7" i="2"/>
  <c r="E7" i="2"/>
  <c r="C8" i="2"/>
  <c r="E8" i="2"/>
  <c r="C9" i="2"/>
  <c r="E9" i="2"/>
  <c r="C10" i="2"/>
  <c r="E10" i="2"/>
  <c r="D4" i="2"/>
  <c r="F10" i="2"/>
  <c r="D10" i="2"/>
  <c r="F9" i="2"/>
  <c r="D9" i="2"/>
  <c r="F8" i="2"/>
  <c r="D8" i="2"/>
  <c r="F7" i="2"/>
  <c r="D7" i="2"/>
  <c r="F6" i="2"/>
  <c r="D6" i="2"/>
  <c r="F5" i="2"/>
  <c r="D5" i="2"/>
  <c r="F4" i="2"/>
  <c r="C15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D15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C26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D26" i="2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E22" i="2"/>
  <c r="H239" i="1"/>
  <c r="C22" i="2"/>
  <c r="I239" i="1"/>
  <c r="N239" i="1"/>
  <c r="O239" i="1"/>
  <c r="C239" i="1"/>
  <c r="D239" i="1"/>
  <c r="E239" i="1"/>
  <c r="F239" i="1"/>
  <c r="B239" i="1"/>
  <c r="B241" i="1"/>
  <c r="B243" i="1"/>
  <c r="B245" i="1"/>
  <c r="B247" i="1"/>
  <c r="B249" i="1"/>
  <c r="B251" i="1"/>
  <c r="C11" i="2"/>
  <c r="G4" i="2"/>
  <c r="D11" i="2"/>
  <c r="R4" i="2"/>
  <c r="H4" i="2"/>
  <c r="E11" i="2"/>
  <c r="I4" i="2"/>
  <c r="F11" i="2"/>
  <c r="N4" i="2"/>
  <c r="L4" i="2"/>
  <c r="J4" i="2"/>
  <c r="Q5" i="2"/>
  <c r="G5" i="2"/>
  <c r="R5" i="2"/>
  <c r="H5" i="2"/>
  <c r="M5" i="2"/>
  <c r="K5" i="2"/>
  <c r="I5" i="2"/>
  <c r="N5" i="2"/>
  <c r="L5" i="2"/>
  <c r="J5" i="2"/>
  <c r="Q6" i="2"/>
  <c r="G6" i="2"/>
  <c r="R6" i="2"/>
  <c r="H6" i="2"/>
  <c r="M6" i="2"/>
  <c r="K6" i="2"/>
  <c r="I6" i="2"/>
  <c r="N6" i="2"/>
  <c r="L6" i="2"/>
  <c r="J6" i="2"/>
  <c r="Q7" i="2"/>
  <c r="G7" i="2"/>
  <c r="R7" i="2"/>
  <c r="H7" i="2"/>
  <c r="M7" i="2"/>
  <c r="K7" i="2"/>
  <c r="I7" i="2"/>
  <c r="N7" i="2"/>
  <c r="L7" i="2"/>
  <c r="J7" i="2"/>
  <c r="Q8" i="2"/>
  <c r="G8" i="2"/>
  <c r="R8" i="2"/>
  <c r="H8" i="2"/>
  <c r="M8" i="2"/>
  <c r="K8" i="2"/>
  <c r="I8" i="2"/>
  <c r="N8" i="2"/>
  <c r="L8" i="2"/>
  <c r="J8" i="2"/>
  <c r="Q9" i="2"/>
  <c r="G9" i="2"/>
  <c r="R9" i="2"/>
  <c r="H9" i="2"/>
  <c r="M9" i="2"/>
  <c r="K9" i="2"/>
  <c r="I9" i="2"/>
  <c r="N9" i="2"/>
  <c r="L9" i="2"/>
  <c r="J9" i="2"/>
  <c r="Q10" i="2"/>
  <c r="G10" i="2"/>
  <c r="R10" i="2"/>
  <c r="H10" i="2"/>
  <c r="M10" i="2"/>
  <c r="K10" i="2"/>
  <c r="I10" i="2"/>
  <c r="N10" i="2"/>
  <c r="L10" i="2"/>
  <c r="J10" i="2"/>
  <c r="R11" i="2"/>
  <c r="Q11" i="2"/>
  <c r="N11" i="2"/>
  <c r="M11" i="2"/>
  <c r="L11" i="2"/>
  <c r="K11" i="2"/>
  <c r="G22" i="2"/>
  <c r="Q15" i="2"/>
  <c r="G15" i="2"/>
  <c r="D22" i="2"/>
  <c r="R15" i="2"/>
  <c r="H15" i="2"/>
  <c r="I22" i="2"/>
  <c r="M15" i="2"/>
  <c r="K15" i="2"/>
  <c r="I15" i="2"/>
  <c r="F22" i="2"/>
  <c r="N15" i="2"/>
  <c r="L15" i="2"/>
  <c r="J15" i="2"/>
  <c r="Q16" i="2"/>
  <c r="G16" i="2"/>
  <c r="R16" i="2"/>
  <c r="H16" i="2"/>
  <c r="M16" i="2"/>
  <c r="K16" i="2"/>
  <c r="I16" i="2"/>
  <c r="N16" i="2"/>
  <c r="L16" i="2"/>
  <c r="J16" i="2"/>
  <c r="Q17" i="2"/>
  <c r="G17" i="2"/>
  <c r="R17" i="2"/>
  <c r="H17" i="2"/>
  <c r="M17" i="2"/>
  <c r="K17" i="2"/>
  <c r="I17" i="2"/>
  <c r="N17" i="2"/>
  <c r="L17" i="2"/>
  <c r="J17" i="2"/>
  <c r="Q18" i="2"/>
  <c r="G18" i="2"/>
  <c r="R18" i="2"/>
  <c r="H18" i="2"/>
  <c r="M18" i="2"/>
  <c r="K18" i="2"/>
  <c r="I18" i="2"/>
  <c r="N18" i="2"/>
  <c r="L18" i="2"/>
  <c r="J18" i="2"/>
  <c r="Q19" i="2"/>
  <c r="G19" i="2"/>
  <c r="R19" i="2"/>
  <c r="H19" i="2"/>
  <c r="M19" i="2"/>
  <c r="K19" i="2"/>
  <c r="I19" i="2"/>
  <c r="N19" i="2"/>
  <c r="L19" i="2"/>
  <c r="J19" i="2"/>
  <c r="Q20" i="2"/>
  <c r="G20" i="2"/>
  <c r="R20" i="2"/>
  <c r="H20" i="2"/>
  <c r="M20" i="2"/>
  <c r="K20" i="2"/>
  <c r="I20" i="2"/>
  <c r="N20" i="2"/>
  <c r="L20" i="2"/>
  <c r="J20" i="2"/>
  <c r="Q21" i="2"/>
  <c r="G21" i="2"/>
  <c r="R21" i="2"/>
  <c r="H21" i="2"/>
  <c r="M21" i="2"/>
  <c r="K21" i="2"/>
  <c r="I21" i="2"/>
  <c r="N21" i="2"/>
  <c r="L21" i="2"/>
  <c r="J21" i="2"/>
  <c r="R22" i="2"/>
  <c r="Q22" i="2"/>
  <c r="N22" i="2"/>
  <c r="M22" i="2"/>
  <c r="L22" i="2"/>
  <c r="K22" i="2"/>
  <c r="C33" i="2"/>
  <c r="Q26" i="2"/>
  <c r="G26" i="2"/>
  <c r="D33" i="2"/>
  <c r="R26" i="2"/>
  <c r="H26" i="2"/>
  <c r="E33" i="2"/>
  <c r="M26" i="2"/>
  <c r="K26" i="2"/>
  <c r="O26" i="2" s="1"/>
  <c r="I26" i="2"/>
  <c r="F33" i="2"/>
  <c r="N26" i="2"/>
  <c r="L26" i="2"/>
  <c r="J26" i="2"/>
  <c r="Q27" i="2"/>
  <c r="G27" i="2"/>
  <c r="R27" i="2"/>
  <c r="H27" i="2"/>
  <c r="M27" i="2"/>
  <c r="K27" i="2"/>
  <c r="I27" i="2"/>
  <c r="N27" i="2"/>
  <c r="L27" i="2"/>
  <c r="J27" i="2"/>
  <c r="Q28" i="2"/>
  <c r="G28" i="2"/>
  <c r="R28" i="2"/>
  <c r="H28" i="2"/>
  <c r="M28" i="2"/>
  <c r="K28" i="2"/>
  <c r="I28" i="2"/>
  <c r="N28" i="2"/>
  <c r="L28" i="2"/>
  <c r="J28" i="2"/>
  <c r="Q29" i="2"/>
  <c r="G29" i="2"/>
  <c r="R29" i="2"/>
  <c r="H29" i="2"/>
  <c r="M29" i="2"/>
  <c r="K29" i="2"/>
  <c r="I29" i="2"/>
  <c r="N29" i="2"/>
  <c r="L29" i="2"/>
  <c r="J29" i="2"/>
  <c r="Q30" i="2"/>
  <c r="G30" i="2"/>
  <c r="R30" i="2"/>
  <c r="H30" i="2"/>
  <c r="M30" i="2"/>
  <c r="K30" i="2"/>
  <c r="I30" i="2"/>
  <c r="N30" i="2"/>
  <c r="L30" i="2"/>
  <c r="J30" i="2"/>
  <c r="Q31" i="2"/>
  <c r="G31" i="2"/>
  <c r="R31" i="2"/>
  <c r="H31" i="2"/>
  <c r="M31" i="2"/>
  <c r="K31" i="2"/>
  <c r="I31" i="2"/>
  <c r="N31" i="2"/>
  <c r="L31" i="2"/>
  <c r="J31" i="2"/>
  <c r="Q32" i="2"/>
  <c r="G32" i="2"/>
  <c r="R32" i="2"/>
  <c r="H32" i="2"/>
  <c r="M32" i="2"/>
  <c r="K32" i="2"/>
  <c r="I32" i="2"/>
  <c r="N32" i="2"/>
  <c r="L32" i="2"/>
  <c r="J32" i="2"/>
  <c r="R33" i="2"/>
  <c r="Q33" i="2"/>
  <c r="N33" i="2"/>
  <c r="M33" i="2"/>
  <c r="L33" i="2"/>
  <c r="K33" i="2"/>
  <c r="H252" i="1"/>
  <c r="H253" i="1" s="1"/>
  <c r="I252" i="1"/>
  <c r="I253" i="1" s="1"/>
  <c r="K252" i="1"/>
  <c r="K253" i="1" s="1"/>
  <c r="L252" i="1"/>
  <c r="L253" i="1" s="1"/>
  <c r="M252" i="1"/>
  <c r="M253" i="1" s="1"/>
  <c r="N252" i="1"/>
  <c r="N253" i="1" s="1"/>
  <c r="O252" i="1"/>
  <c r="O253" i="1" s="1"/>
  <c r="P252" i="1"/>
  <c r="P253" i="1" s="1"/>
  <c r="Q252" i="1"/>
  <c r="Q253" i="1" s="1"/>
  <c r="R252" i="1"/>
  <c r="R253" i="1" s="1"/>
  <c r="S252" i="1"/>
  <c r="S253" i="1" s="1"/>
  <c r="G252" i="1"/>
  <c r="G253" i="1" s="1"/>
  <c r="F252" i="1"/>
  <c r="F253" i="1" s="1"/>
  <c r="E252" i="1"/>
  <c r="E253" i="1" s="1"/>
  <c r="D252" i="1"/>
  <c r="D253" i="1" s="1"/>
  <c r="C252" i="1"/>
  <c r="C253" i="1" s="1"/>
  <c r="B252" i="1"/>
  <c r="B253" i="1" s="1"/>
  <c r="G72" i="2" l="1"/>
  <c r="J101" i="2"/>
  <c r="H101" i="2"/>
  <c r="L101" i="2" s="1"/>
  <c r="V28" i="2" s="1"/>
  <c r="N101" i="2"/>
  <c r="X28" i="2" s="1"/>
  <c r="E101" i="2"/>
  <c r="I94" i="2"/>
  <c r="G94" i="2"/>
  <c r="K94" i="2" s="1"/>
  <c r="J94" i="2"/>
  <c r="H94" i="2"/>
  <c r="L94" i="2" s="1"/>
  <c r="I95" i="2"/>
  <c r="G95" i="2"/>
  <c r="K95" i="2" s="1"/>
  <c r="J95" i="2"/>
  <c r="H95" i="2"/>
  <c r="L95" i="2" s="1"/>
  <c r="I96" i="2"/>
  <c r="G96" i="2"/>
  <c r="K96" i="2" s="1"/>
  <c r="J96" i="2"/>
  <c r="H96" i="2"/>
  <c r="L96" i="2" s="1"/>
  <c r="I97" i="2"/>
  <c r="G97" i="2"/>
  <c r="K97" i="2" s="1"/>
  <c r="J97" i="2"/>
  <c r="H97" i="2"/>
  <c r="L97" i="2" s="1"/>
  <c r="I98" i="2"/>
  <c r="G98" i="2"/>
  <c r="K98" i="2" s="1"/>
  <c r="J98" i="2"/>
  <c r="H98" i="2"/>
  <c r="L98" i="2" s="1"/>
  <c r="I99" i="2"/>
  <c r="G99" i="2"/>
  <c r="K99" i="2" s="1"/>
  <c r="J99" i="2"/>
  <c r="H99" i="2"/>
  <c r="L99" i="2" s="1"/>
  <c r="I100" i="2"/>
  <c r="G100" i="2"/>
  <c r="K100" i="2" s="1"/>
  <c r="J100" i="2"/>
  <c r="H100" i="2"/>
  <c r="L100" i="2" s="1"/>
  <c r="J90" i="2"/>
  <c r="H90" i="2"/>
  <c r="L90" i="2" s="1"/>
  <c r="V27" i="2" s="1"/>
  <c r="N90" i="2"/>
  <c r="X27" i="2" s="1"/>
  <c r="E90" i="2"/>
  <c r="I83" i="2"/>
  <c r="G83" i="2"/>
  <c r="K83" i="2" s="1"/>
  <c r="J83" i="2"/>
  <c r="H83" i="2"/>
  <c r="L83" i="2" s="1"/>
  <c r="I84" i="2"/>
  <c r="G84" i="2"/>
  <c r="K84" i="2" s="1"/>
  <c r="J84" i="2"/>
  <c r="H84" i="2"/>
  <c r="L84" i="2" s="1"/>
  <c r="I85" i="2"/>
  <c r="G85" i="2"/>
  <c r="K85" i="2" s="1"/>
  <c r="J85" i="2"/>
  <c r="H85" i="2"/>
  <c r="L85" i="2" s="1"/>
  <c r="I86" i="2"/>
  <c r="G86" i="2"/>
  <c r="K86" i="2" s="1"/>
  <c r="J86" i="2"/>
  <c r="H86" i="2"/>
  <c r="L86" i="2" s="1"/>
  <c r="I87" i="2"/>
  <c r="G87" i="2"/>
  <c r="K87" i="2" s="1"/>
  <c r="J87" i="2"/>
  <c r="H87" i="2"/>
  <c r="L87" i="2" s="1"/>
  <c r="I88" i="2"/>
  <c r="G88" i="2"/>
  <c r="K88" i="2" s="1"/>
  <c r="J88" i="2"/>
  <c r="H88" i="2"/>
  <c r="L88" i="2" s="1"/>
  <c r="I89" i="2"/>
  <c r="G89" i="2"/>
  <c r="K89" i="2" s="1"/>
  <c r="J89" i="2"/>
  <c r="H89" i="2"/>
  <c r="L89" i="2" s="1"/>
  <c r="H79" i="2"/>
  <c r="J79" i="2"/>
  <c r="N79" i="2"/>
  <c r="X26" i="2" s="1"/>
  <c r="G73" i="2"/>
  <c r="I73" i="2"/>
  <c r="H73" i="2"/>
  <c r="J73" i="2"/>
  <c r="G74" i="2"/>
  <c r="I74" i="2"/>
  <c r="H74" i="2"/>
  <c r="J74" i="2"/>
  <c r="G75" i="2"/>
  <c r="I75" i="2"/>
  <c r="H75" i="2"/>
  <c r="J75" i="2"/>
  <c r="G76" i="2"/>
  <c r="I76" i="2"/>
  <c r="H76" i="2"/>
  <c r="J76" i="2"/>
  <c r="G77" i="2"/>
  <c r="I77" i="2"/>
  <c r="H77" i="2"/>
  <c r="J77" i="2"/>
  <c r="G78" i="2"/>
  <c r="I78" i="2"/>
  <c r="H78" i="2"/>
  <c r="J78" i="2"/>
  <c r="E79" i="2"/>
  <c r="I72" i="2"/>
  <c r="C101" i="2"/>
  <c r="M101" i="2" s="1"/>
  <c r="W28" i="2" s="1"/>
  <c r="C90" i="2"/>
  <c r="M90" i="2" s="1"/>
  <c r="W27" i="2" s="1"/>
  <c r="C79" i="2"/>
  <c r="M79" i="2" s="1"/>
  <c r="W26" i="2" s="1"/>
  <c r="O67" i="2"/>
  <c r="K67" i="2"/>
  <c r="S67" i="2" s="1"/>
  <c r="U17" i="2" s="1"/>
  <c r="W67" i="2"/>
  <c r="Y17" i="2" s="1"/>
  <c r="Q67" i="2"/>
  <c r="R67" i="2"/>
  <c r="O60" i="2"/>
  <c r="K60" i="2"/>
  <c r="S60" i="2" s="1"/>
  <c r="O61" i="2"/>
  <c r="K61" i="2"/>
  <c r="S61" i="2" s="1"/>
  <c r="O62" i="2"/>
  <c r="K62" i="2"/>
  <c r="S62" i="2" s="1"/>
  <c r="O63" i="2"/>
  <c r="K63" i="2"/>
  <c r="S63" i="2" s="1"/>
  <c r="O64" i="2"/>
  <c r="K64" i="2"/>
  <c r="S64" i="2" s="1"/>
  <c r="O65" i="2"/>
  <c r="K65" i="2"/>
  <c r="S65" i="2" s="1"/>
  <c r="O66" i="2"/>
  <c r="K66" i="2"/>
  <c r="S66" i="2" s="1"/>
  <c r="O56" i="2"/>
  <c r="K56" i="2"/>
  <c r="S56" i="2" s="1"/>
  <c r="U16" i="2" s="1"/>
  <c r="W56" i="2"/>
  <c r="Y16" i="2" s="1"/>
  <c r="Q56" i="2"/>
  <c r="R56" i="2"/>
  <c r="O49" i="2"/>
  <c r="K49" i="2"/>
  <c r="S49" i="2" s="1"/>
  <c r="O50" i="2"/>
  <c r="K50" i="2"/>
  <c r="S50" i="2" s="1"/>
  <c r="O51" i="2"/>
  <c r="K51" i="2"/>
  <c r="S51" i="2" s="1"/>
  <c r="O52" i="2"/>
  <c r="K52" i="2"/>
  <c r="S52" i="2" s="1"/>
  <c r="O53" i="2"/>
  <c r="K53" i="2"/>
  <c r="S53" i="2" s="1"/>
  <c r="O54" i="2"/>
  <c r="K54" i="2"/>
  <c r="S54" i="2" s="1"/>
  <c r="O55" i="2"/>
  <c r="K55" i="2"/>
  <c r="S55" i="2" s="1"/>
  <c r="K45" i="2"/>
  <c r="O45" i="2"/>
  <c r="W45" i="2"/>
  <c r="Y15" i="2" s="1"/>
  <c r="Q45" i="2"/>
  <c r="R45" i="2"/>
  <c r="K39" i="2"/>
  <c r="O39" i="2"/>
  <c r="K40" i="2"/>
  <c r="O40" i="2"/>
  <c r="K41" i="2"/>
  <c r="O41" i="2"/>
  <c r="K42" i="2"/>
  <c r="O42" i="2"/>
  <c r="K43" i="2"/>
  <c r="O43" i="2"/>
  <c r="K44" i="2"/>
  <c r="O44" i="2"/>
  <c r="V39" i="2"/>
  <c r="V40" i="2"/>
  <c r="V41" i="2"/>
  <c r="V42" i="2"/>
  <c r="V43" i="2"/>
  <c r="V44" i="2"/>
  <c r="U39" i="2"/>
  <c r="U40" i="2"/>
  <c r="U41" i="2"/>
  <c r="U42" i="2"/>
  <c r="U43" i="2"/>
  <c r="U44" i="2"/>
  <c r="T39" i="2"/>
  <c r="T40" i="2"/>
  <c r="T41" i="2"/>
  <c r="T42" i="2"/>
  <c r="T43" i="2"/>
  <c r="T44" i="2"/>
  <c r="K38" i="2"/>
  <c r="E67" i="2"/>
  <c r="F67" i="2"/>
  <c r="E56" i="2"/>
  <c r="F56" i="2"/>
  <c r="E45" i="2"/>
  <c r="F45" i="2"/>
  <c r="Q4" i="2"/>
  <c r="K4" i="2"/>
  <c r="M4" i="2"/>
  <c r="Y6" i="2"/>
  <c r="Z6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Y5" i="2"/>
  <c r="Z5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Y4" i="2"/>
  <c r="Z4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AA5" i="2"/>
  <c r="H67" i="2"/>
  <c r="D67" i="2"/>
  <c r="X67" i="2" s="1"/>
  <c r="Z17" i="2" s="1"/>
  <c r="Z22" i="2" s="1"/>
  <c r="H56" i="2"/>
  <c r="D56" i="2"/>
  <c r="X56" i="2" s="1"/>
  <c r="Z16" i="2" s="1"/>
  <c r="Z21" i="2" s="1"/>
  <c r="H45" i="2"/>
  <c r="D45" i="2"/>
  <c r="X45" i="2" s="1"/>
  <c r="Z15" i="2" s="1"/>
  <c r="Z20" i="2" s="1"/>
  <c r="Z11" i="2"/>
  <c r="Z10" i="2"/>
  <c r="Z9" i="2"/>
  <c r="X6" i="2"/>
  <c r="V6" i="2"/>
  <c r="W6" i="2"/>
  <c r="U6" i="2"/>
  <c r="AB6" i="2"/>
  <c r="AA6" i="2"/>
  <c r="X5" i="2"/>
  <c r="V5" i="2"/>
  <c r="AB5" i="2"/>
  <c r="AB10" i="2" s="1"/>
  <c r="X4" i="2"/>
  <c r="V4" i="2"/>
  <c r="W4" i="2"/>
  <c r="U4" i="2"/>
  <c r="AB4" i="2"/>
  <c r="AA4" i="2"/>
  <c r="W5" i="2"/>
  <c r="U5" i="2"/>
  <c r="O33" i="2"/>
  <c r="P33" i="2"/>
  <c r="J33" i="2"/>
  <c r="I33" i="2"/>
  <c r="H33" i="2"/>
  <c r="G33" i="2"/>
  <c r="O22" i="2"/>
  <c r="P22" i="2"/>
  <c r="J22" i="2"/>
  <c r="H22" i="2"/>
  <c r="O11" i="2"/>
  <c r="P11" i="2"/>
  <c r="J11" i="2"/>
  <c r="I11" i="2"/>
  <c r="H11" i="2"/>
  <c r="G11" i="2"/>
  <c r="L78" i="2" l="1"/>
  <c r="L77" i="2"/>
  <c r="L76" i="2"/>
  <c r="L75" i="2"/>
  <c r="L74" i="2"/>
  <c r="L73" i="2"/>
  <c r="L79" i="2"/>
  <c r="V26" i="2" s="1"/>
  <c r="K78" i="2"/>
  <c r="K77" i="2"/>
  <c r="K76" i="2"/>
  <c r="K75" i="2"/>
  <c r="K74" i="2"/>
  <c r="K73" i="2"/>
  <c r="K72" i="2"/>
  <c r="I101" i="2"/>
  <c r="G101" i="2"/>
  <c r="K101" i="2" s="1"/>
  <c r="U28" i="2" s="1"/>
  <c r="I90" i="2"/>
  <c r="G90" i="2"/>
  <c r="K90" i="2" s="1"/>
  <c r="U27" i="2" s="1"/>
  <c r="G79" i="2"/>
  <c r="I79" i="2"/>
  <c r="P67" i="2"/>
  <c r="L67" i="2"/>
  <c r="T67" i="2" s="1"/>
  <c r="V17" i="2" s="1"/>
  <c r="V22" i="2" s="1"/>
  <c r="Z67" i="2"/>
  <c r="AB17" i="2" s="1"/>
  <c r="AB22" i="2" s="1"/>
  <c r="N67" i="2"/>
  <c r="V67" i="2" s="1"/>
  <c r="X17" i="2" s="1"/>
  <c r="X22" i="2" s="1"/>
  <c r="Y67" i="2"/>
  <c r="AA17" i="2" s="1"/>
  <c r="AA22" i="2" s="1"/>
  <c r="M67" i="2"/>
  <c r="U67" i="2" s="1"/>
  <c r="W17" i="2" s="1"/>
  <c r="W22" i="2" s="1"/>
  <c r="P56" i="2"/>
  <c r="L56" i="2"/>
  <c r="T56" i="2" s="1"/>
  <c r="V16" i="2" s="1"/>
  <c r="V21" i="2" s="1"/>
  <c r="Z56" i="2"/>
  <c r="AB16" i="2" s="1"/>
  <c r="AB21" i="2" s="1"/>
  <c r="N56" i="2"/>
  <c r="V56" i="2" s="1"/>
  <c r="X16" i="2" s="1"/>
  <c r="X21" i="2" s="1"/>
  <c r="Y56" i="2"/>
  <c r="AA16" i="2" s="1"/>
  <c r="AA21" i="2" s="1"/>
  <c r="M56" i="2"/>
  <c r="U56" i="2" s="1"/>
  <c r="W16" i="2" s="1"/>
  <c r="W21" i="2" s="1"/>
  <c r="L45" i="2"/>
  <c r="P45" i="2"/>
  <c r="Z45" i="2"/>
  <c r="AB15" i="2" s="1"/>
  <c r="AB20" i="2" s="1"/>
  <c r="N45" i="2"/>
  <c r="V45" i="2" s="1"/>
  <c r="X15" i="2" s="1"/>
  <c r="Y45" i="2"/>
  <c r="AA15" i="2" s="1"/>
  <c r="AA20" i="2" s="1"/>
  <c r="M45" i="2"/>
  <c r="U45" i="2" s="1"/>
  <c r="W15" i="2" s="1"/>
  <c r="S44" i="2"/>
  <c r="S43" i="2"/>
  <c r="S42" i="2"/>
  <c r="S41" i="2"/>
  <c r="S40" i="2"/>
  <c r="S39" i="2"/>
  <c r="S45" i="2"/>
  <c r="U15" i="2" s="1"/>
  <c r="S38" i="2"/>
  <c r="O4" i="2"/>
  <c r="AB9" i="2"/>
  <c r="AB11" i="2"/>
  <c r="X10" i="2"/>
  <c r="X11" i="2"/>
  <c r="X9" i="2"/>
  <c r="V11" i="2"/>
  <c r="V10" i="2"/>
  <c r="V9" i="2"/>
  <c r="W20" i="2" l="1"/>
  <c r="X20" i="2"/>
  <c r="K79" i="2"/>
  <c r="U26" i="2" s="1"/>
  <c r="T45" i="2"/>
  <c r="V15" i="2" s="1"/>
  <c r="V2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<sst xmlns="http://schemas.openxmlformats.org/spreadsheetml/2006/main" count="4582" uniqueCount="351">
  <si>
    <t>instance</t>
  </si>
  <si>
    <t>crash_detection_gemini_code</t>
  </si>
  <si>
    <t>crash_detection_gemini_runinfo</t>
  </si>
  <si>
    <t>crash_detection_gemini_runinfo_full_doc</t>
  </si>
  <si>
    <t>crash_detection_gemini_runinfo_r_v</t>
  </si>
  <si>
    <t>crash_detection_gemini_runinfo_s_r</t>
  </si>
  <si>
    <t>crash_detection_gemini_runinfo_s_v</t>
  </si>
  <si>
    <t>crash_detection_qwen_code</t>
  </si>
  <si>
    <t>crash_detection_qwen_runinfo</t>
  </si>
  <si>
    <t>crash_detection_qwen_runinfo_full_doc</t>
  </si>
  <si>
    <t>crash_detection_qwen_runinfo_r_v</t>
  </si>
  <si>
    <t>crash_detection_qwen_runinfo_s_r</t>
  </si>
  <si>
    <t>crash_detection_qwen_runinfo_s_v</t>
  </si>
  <si>
    <t>crash_detection_gpt5_code</t>
  </si>
  <si>
    <t>crash_detection_gpt5_runinfo</t>
  </si>
  <si>
    <t>crash_detection_gpt5_runinfo_full_doc</t>
  </si>
  <si>
    <t>crash_detection_gpt5_runinfo_r_v</t>
  </si>
  <si>
    <t>crash_detection_gpt5_runinfo_s_r</t>
  </si>
  <si>
    <t>crash_detection_gpt5_runinfo_s_v</t>
  </si>
  <si>
    <t>tensorflow_1_fixed</t>
  </si>
  <si>
    <t>correct</t>
  </si>
  <si>
    <t>tensorflow_2_fixed</t>
  </si>
  <si>
    <t>wrong</t>
  </si>
  <si>
    <t>tensorflow_3_fixed</t>
  </si>
  <si>
    <t>tensorflow_4_fixed</t>
  </si>
  <si>
    <t>tensorflow_5_fixed</t>
  </si>
  <si>
    <t>tensorflow_6_fixed</t>
  </si>
  <si>
    <t>tensorflow_7_fixed</t>
  </si>
  <si>
    <t>tensorflow_8_fixed</t>
  </si>
  <si>
    <t>tensorflow_9_fixed</t>
  </si>
  <si>
    <t>tensorflow_10_fixed</t>
  </si>
  <si>
    <t>tensorflow_11_fixed</t>
  </si>
  <si>
    <t>tensorflow_12_fixed</t>
  </si>
  <si>
    <t>tensorflow_13_fixed</t>
  </si>
  <si>
    <t>tensorflow_14_fixed</t>
  </si>
  <si>
    <t>tensorflow_15_fixed</t>
  </si>
  <si>
    <t>tensorflow_1_reproduced</t>
  </si>
  <si>
    <t>tensorflow_2_reproduced</t>
  </si>
  <si>
    <t>tensorflow_3_reproduced</t>
  </si>
  <si>
    <t>tensorflow_4_reproduced</t>
  </si>
  <si>
    <t>tensorflow_5_reproduced</t>
  </si>
  <si>
    <t>tensorflow_6_reproduced</t>
  </si>
  <si>
    <t>tensorflow_7_reproduced</t>
  </si>
  <si>
    <t>tensorflow_8_reproduced</t>
  </si>
  <si>
    <t>tensorflow_9_reproduced</t>
  </si>
  <si>
    <t>tensorflow_10_reproduced</t>
  </si>
  <si>
    <t>tensorflow_11_reproduced</t>
  </si>
  <si>
    <t>tensorflow_12_reproduced</t>
  </si>
  <si>
    <t>tensorflow_13_reproduced</t>
  </si>
  <si>
    <t>tensorflow_14_reproduced</t>
  </si>
  <si>
    <t>tensorflow_15_reproduced</t>
  </si>
  <si>
    <t>torch_1_fixed</t>
  </si>
  <si>
    <t>torch_2_fixed</t>
  </si>
  <si>
    <t>torch_3_fixed</t>
  </si>
  <si>
    <t>torch_4_fixed</t>
  </si>
  <si>
    <t>torch_5_fixed</t>
  </si>
  <si>
    <t>torch_6_fixed</t>
  </si>
  <si>
    <t>torch_7_fixed</t>
  </si>
  <si>
    <t>torch_8_fixed</t>
  </si>
  <si>
    <t>torch_9_fixed</t>
  </si>
  <si>
    <t>torch_10_fixed</t>
  </si>
  <si>
    <t>torch_11_fixed</t>
  </si>
  <si>
    <t>torch_12_fixed</t>
  </si>
  <si>
    <t>torch_13_fixed</t>
  </si>
  <si>
    <t>torch_14_fixed</t>
  </si>
  <si>
    <t>torch_15_fixed</t>
  </si>
  <si>
    <t>torch_1_reproduced</t>
  </si>
  <si>
    <t>torch_2_reproduced</t>
  </si>
  <si>
    <t>torch_3_reproduced</t>
  </si>
  <si>
    <t>torch_4_reproduced</t>
  </si>
  <si>
    <t>torch_5_reproduced</t>
  </si>
  <si>
    <t>torch_6_reproduced</t>
  </si>
  <si>
    <t>torch_7_reproduced</t>
  </si>
  <si>
    <t>torch_8_reproduced</t>
  </si>
  <si>
    <t>torch_9_reproduced</t>
  </si>
  <si>
    <t>torch_10_reproduced</t>
  </si>
  <si>
    <t>torch_11_reproduced</t>
  </si>
  <si>
    <t>torch_12_reproduced</t>
  </si>
  <si>
    <t>torch_13_reproduced</t>
  </si>
  <si>
    <t>torch_14_reproduced</t>
  </si>
  <si>
    <t>torch_15_reproduced</t>
  </si>
  <si>
    <t>sklearn_1_fixed</t>
  </si>
  <si>
    <t>sklearn_2_fixed</t>
  </si>
  <si>
    <t>sklearn_3_fixed</t>
  </si>
  <si>
    <t>sklearn_4_fixed</t>
  </si>
  <si>
    <t>sklearn_5_fixed</t>
  </si>
  <si>
    <t>sklearn_6_fixed</t>
  </si>
  <si>
    <t>sklearn_7_fixed</t>
  </si>
  <si>
    <t>sklearn_8_fixed</t>
  </si>
  <si>
    <t>sklearn_9_fixed</t>
  </si>
  <si>
    <t>sklearn_10_fixed</t>
  </si>
  <si>
    <t>sklearn_11_fixed</t>
  </si>
  <si>
    <t>sklearn_12_fixed</t>
  </si>
  <si>
    <t>sklearn_13_fixed</t>
  </si>
  <si>
    <t>sklearn_14_fixed</t>
  </si>
  <si>
    <t>sklearn_15_fixed</t>
  </si>
  <si>
    <t>sklearn_1_reproduced</t>
  </si>
  <si>
    <t>sklearn_2_reproduced</t>
  </si>
  <si>
    <t>sklearn_3_reproduced</t>
  </si>
  <si>
    <t>sklearn_4_reproduced</t>
  </si>
  <si>
    <t>sklearn_5_reproduced</t>
  </si>
  <si>
    <t>sklearn_6_reproduced</t>
  </si>
  <si>
    <t>sklearn_7_reproduced</t>
  </si>
  <si>
    <t>sklearn_8_reproduced</t>
  </si>
  <si>
    <t>sklearn_9_reproduced</t>
  </si>
  <si>
    <t>sklearn_10_reproduced</t>
  </si>
  <si>
    <t>sklearn_11_reproduced</t>
  </si>
  <si>
    <t>sklearn_12_reproduced</t>
  </si>
  <si>
    <t>sklearn_13_reproduced</t>
  </si>
  <si>
    <t>sklearn_14_reproduced</t>
  </si>
  <si>
    <t>sklearn_15_reproduced</t>
  </si>
  <si>
    <t>pandas_1_fixed</t>
  </si>
  <si>
    <t>pandas_2_fixed</t>
  </si>
  <si>
    <t>pandas_3_fixed</t>
  </si>
  <si>
    <t>pandas_4_fixed</t>
  </si>
  <si>
    <t>pandas_5_fixed</t>
  </si>
  <si>
    <t>pandas_6_fixed</t>
  </si>
  <si>
    <t>pandas_7_fixed</t>
  </si>
  <si>
    <t>pandas_8_fixed</t>
  </si>
  <si>
    <t>pandas_9_fixed</t>
  </si>
  <si>
    <t>pandas_10_fixed</t>
  </si>
  <si>
    <t>pandas_11_fixed</t>
  </si>
  <si>
    <t>pandas_12_fixed</t>
  </si>
  <si>
    <t>pandas_13_fixed</t>
  </si>
  <si>
    <t>pandas_14_fixed</t>
  </si>
  <si>
    <t>pandas_15_fixed</t>
  </si>
  <si>
    <t>pandas_1_reproduced</t>
  </si>
  <si>
    <t>pandas_2_reproduced</t>
  </si>
  <si>
    <t>pandas_3_reproduced</t>
  </si>
  <si>
    <t>pandas_4_reproduced</t>
  </si>
  <si>
    <t>pandas_5_reproduced</t>
  </si>
  <si>
    <t>pandas_6_reproduced</t>
  </si>
  <si>
    <t>pandas_7_reproduced</t>
  </si>
  <si>
    <t>pandas_8_reproduced</t>
  </si>
  <si>
    <t>pandas_9_reproduced</t>
  </si>
  <si>
    <t>pandas_10_reproduced</t>
  </si>
  <si>
    <t>pandas_11_reproduced</t>
  </si>
  <si>
    <t>pandas_12_reproduced</t>
  </si>
  <si>
    <t>pandas_13_reproduced</t>
  </si>
  <si>
    <t>pandas_14_reproduced</t>
  </si>
  <si>
    <t>pandas_15_reproduced</t>
  </si>
  <si>
    <t>numpy_1_fixed</t>
  </si>
  <si>
    <t>numpy_2_fixed</t>
  </si>
  <si>
    <t>numpy_3_fixed</t>
  </si>
  <si>
    <t>numpy_4_fixed</t>
  </si>
  <si>
    <t>numpy_5_fixed</t>
  </si>
  <si>
    <t>numpy_6_fixed</t>
  </si>
  <si>
    <t>numpy_7_fixed</t>
  </si>
  <si>
    <t>numpy_8_fixed</t>
  </si>
  <si>
    <t>numpy_9_fixed</t>
  </si>
  <si>
    <t>numpy_10_fixed</t>
  </si>
  <si>
    <t>numpy_11_fixed</t>
  </si>
  <si>
    <t>numpy_12_fixed</t>
  </si>
  <si>
    <t>numpy_13_fixed</t>
  </si>
  <si>
    <t>numpy_14_fixed</t>
  </si>
  <si>
    <t>numpy_15_fixed</t>
  </si>
  <si>
    <t>numpy_1_reproduced</t>
  </si>
  <si>
    <t>numpy_2_reproduced</t>
  </si>
  <si>
    <t>numpy_3_reproduced</t>
  </si>
  <si>
    <t>numpy_4_reproduced</t>
  </si>
  <si>
    <t>numpy_5_reproduced</t>
  </si>
  <si>
    <t>numpy_6_reproduced</t>
  </si>
  <si>
    <t>numpy_7_reproduced</t>
  </si>
  <si>
    <t>numpy_8_reproduced</t>
  </si>
  <si>
    <t>numpy_9_reproduced</t>
  </si>
  <si>
    <t>numpy_10_reproduced</t>
  </si>
  <si>
    <t>numpy_11_reproduced</t>
  </si>
  <si>
    <t>numpy_12_reproduced</t>
  </si>
  <si>
    <t>numpy_13_reproduced</t>
  </si>
  <si>
    <t>numpy_14_reproduced</t>
  </si>
  <si>
    <t>numpy_15_reproduced</t>
  </si>
  <si>
    <t>matplotlib_1_fixed</t>
  </si>
  <si>
    <t>matplotlib_2_fixed</t>
  </si>
  <si>
    <t>matplotlib_3_fixed</t>
  </si>
  <si>
    <t>matplotlib_4_fixed</t>
  </si>
  <si>
    <t>matplotlib_5_fixed</t>
  </si>
  <si>
    <t>matplotlib_6_fixed</t>
  </si>
  <si>
    <t>seaborn_1_fixed</t>
  </si>
  <si>
    <t>seaborn_2_fixed</t>
  </si>
  <si>
    <t>seaborn_3_fixed</t>
  </si>
  <si>
    <t>seaborn_4_fixed</t>
  </si>
  <si>
    <t>seaborn_5_fixed</t>
  </si>
  <si>
    <t>seaborn_6_fixed</t>
  </si>
  <si>
    <t>lightgbm_1_fixed</t>
  </si>
  <si>
    <t>statsmodels_1_fixed</t>
  </si>
  <si>
    <t>statsmodels_2_fixed</t>
  </si>
  <si>
    <t>torchvision_1_fixed</t>
  </si>
  <si>
    <t>matplotlib_1_reproduced</t>
  </si>
  <si>
    <t>matplotlib_2_reproduced</t>
  </si>
  <si>
    <t>matplotlib_3_reproduced</t>
  </si>
  <si>
    <t>matplotlib_4_reproduced</t>
  </si>
  <si>
    <t>matplotlib_5_reproduced</t>
  </si>
  <si>
    <t>matplotlib_6_reproduced</t>
  </si>
  <si>
    <t>seaborn_1_reproduced</t>
  </si>
  <si>
    <t>seaborn_2_reproduced</t>
  </si>
  <si>
    <t>seaborn_3_reproduced</t>
  </si>
  <si>
    <t>seaborn_4_reproduced</t>
  </si>
  <si>
    <t>seaborn_5_reproduced</t>
  </si>
  <si>
    <t>seaborn_6_reproduced</t>
  </si>
  <si>
    <t>lightgbm_1_reproduced</t>
  </si>
  <si>
    <t>statsmodels_1_reproduced</t>
  </si>
  <si>
    <t>statsmodels_2_reproduced</t>
  </si>
  <si>
    <t>torchvision_1_reproduced</t>
  </si>
  <si>
    <t>NBspecific_1_fixed</t>
  </si>
  <si>
    <t>NBspecific_2_fixed</t>
  </si>
  <si>
    <t>NBspecific_3_fixed</t>
  </si>
  <si>
    <t>NBspecific_4_fixed</t>
  </si>
  <si>
    <t>NBspecific_5_fixed</t>
  </si>
  <si>
    <t>NBspecific_6_fixed</t>
  </si>
  <si>
    <t>NBspecific_7_fixed</t>
  </si>
  <si>
    <t>NBspecific_8_fixed</t>
  </si>
  <si>
    <t>NBspecific_9_fixed</t>
  </si>
  <si>
    <t>NBspecific_10_fixed</t>
  </si>
  <si>
    <t>NBspecific_11_fixed</t>
  </si>
  <si>
    <t>NBspecific_12_fixed</t>
  </si>
  <si>
    <t>NBspecific_13_fixed</t>
  </si>
  <si>
    <t>NBspecific_14_fixed</t>
  </si>
  <si>
    <t>NBspecific_15_fixed</t>
  </si>
  <si>
    <t>NBspecific_16_fixed</t>
  </si>
  <si>
    <t>NBspecific_17_fixed</t>
  </si>
  <si>
    <t>NBspecific_18_fixed</t>
  </si>
  <si>
    <t>NBspecific_19_fixed</t>
  </si>
  <si>
    <t>NBspecific_20_fixed</t>
  </si>
  <si>
    <t>NBspecific_1_reproduced</t>
  </si>
  <si>
    <t>NBspecific_2_reproduced</t>
  </si>
  <si>
    <t>NBspecific_3_reproduced</t>
  </si>
  <si>
    <t>NBspecific_4_reproduced</t>
  </si>
  <si>
    <t>NBspecific_5_reproduced</t>
  </si>
  <si>
    <t>NBspecific_6_reproduced</t>
  </si>
  <si>
    <t>NBspecific_7_reproduced</t>
  </si>
  <si>
    <t>NBspecific_8_reproduced</t>
  </si>
  <si>
    <t>NBspecific_9_reproduced</t>
  </si>
  <si>
    <t>NBspecific_10_reproduced</t>
  </si>
  <si>
    <t>NBspecific_11_reproduced</t>
  </si>
  <si>
    <t>NBspecific_12_reproduced</t>
  </si>
  <si>
    <t>NBspecific_13_reproduced</t>
  </si>
  <si>
    <t>NBspecific_14_reproduced</t>
  </si>
  <si>
    <t>NBspecific_15_reproduced</t>
  </si>
  <si>
    <t>NBspecific_16_reproduced</t>
  </si>
  <si>
    <t>NBspecific_17_reproduced</t>
  </si>
  <si>
    <t>NBspecific_18_reproduced</t>
  </si>
  <si>
    <t>NBspecific_19_reproduced</t>
  </si>
  <si>
    <t>NBspecific_20_reproduced</t>
  </si>
  <si>
    <t>FP_tensorflow</t>
  </si>
  <si>
    <t>FN_tensorflow</t>
  </si>
  <si>
    <t>FP_torch</t>
  </si>
  <si>
    <t>FN_torch</t>
  </si>
  <si>
    <t>FP_sklearn</t>
  </si>
  <si>
    <t>FN_sklearn</t>
  </si>
  <si>
    <t>FP_pandas</t>
  </si>
  <si>
    <t>FN_pandas</t>
  </si>
  <si>
    <t>FP_numpy</t>
  </si>
  <si>
    <t>FN_numpy</t>
  </si>
  <si>
    <t>FP_other</t>
  </si>
  <si>
    <t>FN_other</t>
  </si>
  <si>
    <t>FP_NBspecific</t>
  </si>
  <si>
    <t>FN_NBspecific</t>
  </si>
  <si>
    <t>corrects_tensorflow</t>
  </si>
  <si>
    <t>acc_tensorflow</t>
  </si>
  <si>
    <t>corrects_torch</t>
  </si>
  <si>
    <t>acc_torch</t>
  </si>
  <si>
    <t>corrects_sklearn</t>
  </si>
  <si>
    <t>acc_sklearn</t>
  </si>
  <si>
    <t>corrects_pandas</t>
  </si>
  <si>
    <t>acc_pandas</t>
  </si>
  <si>
    <t>corrects_numpy</t>
  </si>
  <si>
    <t>acc_numpy</t>
  </si>
  <si>
    <t>corrects_other</t>
  </si>
  <si>
    <t>acc_other</t>
  </si>
  <si>
    <t>corrects_nbspecific</t>
  </si>
  <si>
    <t>acc_nbspecific</t>
  </si>
  <si>
    <t>corrects_all</t>
  </si>
  <si>
    <t>acc_all</t>
  </si>
  <si>
    <t>total_wrong_reproduced</t>
  </si>
  <si>
    <t>total_partiallycorrect</t>
  </si>
  <si>
    <t>total_reasoningwrong</t>
  </si>
  <si>
    <t>Crash detection and diagnosis results</t>
  </si>
  <si>
    <t>Overall results</t>
  </si>
  <si>
    <t>LLM</t>
  </si>
  <si>
    <t>Crash detection</t>
  </si>
  <si>
    <t>gemini 2.5 flash</t>
  </si>
  <si>
    <t>Count</t>
  </si>
  <si>
    <t>FP-RT</t>
  </si>
  <si>
    <t>FP+RT</t>
  </si>
  <si>
    <t>FN-RT</t>
  </si>
  <si>
    <t>FN+RT</t>
  </si>
  <si>
    <t>FPR-RT</t>
  </si>
  <si>
    <t>FPR+RT</t>
  </si>
  <si>
    <t>FNR-RT</t>
  </si>
  <si>
    <t>FNR+RT</t>
  </si>
  <si>
    <t>Prec-RT</t>
  </si>
  <si>
    <t>Prec+RT</t>
  </si>
  <si>
    <t>Rec-RT</t>
  </si>
  <si>
    <t>Rec+RT</t>
  </si>
  <si>
    <t>F1-RT</t>
  </si>
  <si>
    <t>F1+RT</t>
  </si>
  <si>
    <t>Acc-RT</t>
  </si>
  <si>
    <t>Acc+RT</t>
  </si>
  <si>
    <t>tensorflow</t>
  </si>
  <si>
    <t>LLM - gemini</t>
  </si>
  <si>
    <t>torch</t>
  </si>
  <si>
    <t>LLM - qwen</t>
  </si>
  <si>
    <t>sklearn</t>
  </si>
  <si>
    <t>LLM - gpt5</t>
  </si>
  <si>
    <t>pandas</t>
  </si>
  <si>
    <t>numpy</t>
  </si>
  <si>
    <t>Diff</t>
  </si>
  <si>
    <t>Prec</t>
  </si>
  <si>
    <t>Rec</t>
  </si>
  <si>
    <t>F1</t>
  </si>
  <si>
    <t>Acc</t>
  </si>
  <si>
    <t>other</t>
  </si>
  <si>
    <t>NBspecific</t>
  </si>
  <si>
    <t>total</t>
  </si>
  <si>
    <t>Runtime information ablation study</t>
  </si>
  <si>
    <t>qwen 2.5 32b instruct</t>
  </si>
  <si>
    <t>F1+RT-S</t>
  </si>
  <si>
    <t>F1+RT-V</t>
  </si>
  <si>
    <t>F1+RT-R</t>
  </si>
  <si>
    <t>Acc+RT-S</t>
  </si>
  <si>
    <t>Acc+RT-V</t>
  </si>
  <si>
    <t>Acc+RT-R</t>
  </si>
  <si>
    <t>Runtime information with documentation</t>
  </si>
  <si>
    <t>Additional input tokens introduced by API documentation</t>
  </si>
  <si>
    <t>gpt 5</t>
  </si>
  <si>
    <t>F1+RT+doc</t>
  </si>
  <si>
    <t>Acc+RT+doc</t>
  </si>
  <si>
    <t>Statistics</t>
  </si>
  <si>
    <t>Mean</t>
  </si>
  <si>
    <t>Median</t>
  </si>
  <si>
    <t>75th</t>
  </si>
  <si>
    <t>90th</t>
  </si>
  <si>
    <t>Tokens</t>
  </si>
  <si>
    <t>Increase over baseline</t>
  </si>
  <si>
    <t>Ablation study results</t>
  </si>
  <si>
    <t>FP+RT-S</t>
  </si>
  <si>
    <t>FP+RT-V</t>
  </si>
  <si>
    <t>FP+RT-R</t>
  </si>
  <si>
    <t>FN+RT-S</t>
  </si>
  <si>
    <t>FN+RT-V</t>
  </si>
  <si>
    <t>FN+RT-R</t>
  </si>
  <si>
    <t>Prec+RT-S</t>
  </si>
  <si>
    <t>Prec+RT-V</t>
  </si>
  <si>
    <t>Prec+RT-R</t>
  </si>
  <si>
    <t>Rec+RT-S</t>
  </si>
  <si>
    <t>Rec+RT-V</t>
  </si>
  <si>
    <t>Rec+RT-R</t>
  </si>
  <si>
    <t>FP+RT+doc</t>
  </si>
  <si>
    <t>FN+RT+doc</t>
  </si>
  <si>
    <t>Prec+RT+doc</t>
  </si>
  <si>
    <t>Rec+RT+doc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</si>
</sst>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%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2" fillId="0" borderId="3" xfId="0" applyFont="1" applyBorder="1"/>
    <xf numFmtId="0" fontId="2" fillId="0" borderId="6" xfId="0" applyFont="1" applyBorder="1"/>
    <xf numFmtId="0" fontId="2" fillId="0" borderId="5" xfId="0" applyFont="1" applyBorder="1"/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4" fillId="0" borderId="6" xfId="0" applyFont="1" applyBorder="1"/>
    <xf numFmtId="0" fontId="3" fillId="0" borderId="3" xfId="0" applyFont="1" applyBorder="1"/>
    <xf numFmtId="0" fontId="3" fillId="0" borderId="8" xfId="0" applyFont="1" applyBorder="1"/>
    <xf numFmtId="0" fontId="4" fillId="0" borderId="5" xfId="0" applyFont="1" applyBorder="1"/>
    <xf numFmtId="164" fontId="0" fillId="3" borderId="0" xfId="0" applyNumberFormat="1" applyFill="1"/>
    <xf numFmtId="164" fontId="0" fillId="3" borderId="7" xfId="0" applyNumberFormat="1" applyFill="1" applyBorder="1"/>
    <xf numFmtId="164" fontId="0" fillId="2" borderId="3" xfId="0" applyNumberFormat="1" applyFill="1" applyBorder="1"/>
    <xf numFmtId="164" fontId="0" fillId="0" borderId="0" xfId="0" applyNumberFormat="1"/>
    <xf numFmtId="164" fontId="0" fillId="2" borderId="0" xfId="0" applyNumberFormat="1" applyFill="1"/>
    <xf numFmtId="164" fontId="0" fillId="3" borderId="3" xfId="0" applyNumberFormat="1" applyFill="1" applyBorder="1"/>
    <xf numFmtId="164" fontId="0" fillId="4" borderId="0" xfId="0" applyNumberFormat="1" applyFill="1"/>
    <xf numFmtId="164" fontId="0" fillId="4" borderId="3" xfId="0" applyNumberFormat="1" applyFill="1" applyBorder="1"/>
    <xf numFmtId="164" fontId="0" fillId="5" borderId="0" xfId="0" applyNumberFormat="1" applyFill="1"/>
    <xf numFmtId="164" fontId="0" fillId="5" borderId="3" xfId="0" applyNumberFormat="1" applyFill="1" applyBorder="1"/>
    <xf numFmtId="164" fontId="0" fillId="0" borderId="7" xfId="0" applyNumberFormat="1" applyBorder="1"/>
    <xf numFmtId="0" fontId="3" fillId="0" borderId="6" xfId="0" applyFont="1" applyBorder="1" applyAlignment="1">
      <alignment vertical="center"/>
    </xf>
    <xf numFmtId="164" fontId="3" fillId="0" borderId="5" xfId="0" applyNumberFormat="1" applyFont="1" applyBorder="1"/>
    <xf numFmtId="164" fontId="3" fillId="0" borderId="6" xfId="0" applyNumberFormat="1" applyFont="1" applyBorder="1"/>
    <xf numFmtId="164" fontId="3" fillId="0" borderId="3" xfId="0" applyNumberFormat="1" applyFont="1" applyBorder="1"/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" fontId="0" fillId="0" borderId="0" xfId="0" applyNumberFormat="1"/>
    <xf numFmtId="1" fontId="0" fillId="0" borderId="3" xfId="0" applyNumberFormat="1" applyBorder="1"/>
    <xf numFmtId="166" fontId="0" fillId="0" borderId="0" xfId="0" applyNumberFormat="1"/>
    <xf numFmtId="166" fontId="0" fillId="0" borderId="3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6"/>
  <sheetViews>
    <sheetView workbookViewId="0">
      <pane xSplit="1" ySplit="1" topLeftCell="I161" activePane="bottomRight" state="frozen"/>
      <selection pane="bottomRight" activeCell="A168" sqref="A168"/>
      <selection pane="bottomLeft"/>
      <selection pane="topRight"/>
    </sheetView>
  </sheetViews>
  <sheetFormatPr defaultRowHeight="15"/>
  <cols>
    <col min="1" max="1" width="25.42578125" style="1" bestFit="1" customWidth="1"/>
    <col min="2" max="6" width="15.140625" customWidth="1"/>
    <col min="7" max="7" width="15.140625" style="1" customWidth="1"/>
    <col min="8" max="12" width="15.140625" customWidth="1"/>
    <col min="13" max="13" width="15.140625" style="1" customWidth="1"/>
    <col min="14" max="19" width="15.140625" customWidth="1"/>
  </cols>
  <sheetData>
    <row r="1" spans="1:19" s="11" customFormat="1" ht="45.75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8" t="s">
        <v>12</v>
      </c>
      <c r="N1" s="9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>
      <c r="A2" s="1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s="1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s="1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 spans="1:19">
      <c r="A3" s="1" t="s">
        <v>21</v>
      </c>
      <c r="B3" t="s">
        <v>20</v>
      </c>
      <c r="C3" t="s">
        <v>22</v>
      </c>
      <c r="D3" t="s">
        <v>22</v>
      </c>
      <c r="E3" t="s">
        <v>20</v>
      </c>
      <c r="F3" t="s">
        <v>22</v>
      </c>
      <c r="G3" s="1" t="s">
        <v>22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s="1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</row>
    <row r="4" spans="1:19">
      <c r="A4" s="1" t="s">
        <v>23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s="1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s="1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</row>
    <row r="5" spans="1:19">
      <c r="A5" s="1" t="s">
        <v>24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s="1" t="s">
        <v>22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s="1" t="s">
        <v>20</v>
      </c>
      <c r="N5" t="s">
        <v>22</v>
      </c>
      <c r="O5" t="s">
        <v>22</v>
      </c>
      <c r="P5" t="s">
        <v>22</v>
      </c>
      <c r="Q5" t="s">
        <v>20</v>
      </c>
      <c r="R5" t="s">
        <v>22</v>
      </c>
      <c r="S5" t="s">
        <v>20</v>
      </c>
    </row>
    <row r="6" spans="1:19">
      <c r="A6" s="1" t="s">
        <v>25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s="1" t="s">
        <v>22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s="1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</row>
    <row r="7" spans="1:19">
      <c r="A7" s="1" t="s">
        <v>26</v>
      </c>
      <c r="B7" t="s">
        <v>22</v>
      </c>
      <c r="C7" t="s">
        <v>22</v>
      </c>
      <c r="D7" t="s">
        <v>22</v>
      </c>
      <c r="E7" t="s">
        <v>22</v>
      </c>
      <c r="F7" t="s">
        <v>20</v>
      </c>
      <c r="G7" s="1" t="s">
        <v>22</v>
      </c>
      <c r="H7" t="s">
        <v>22</v>
      </c>
      <c r="I7" t="s">
        <v>20</v>
      </c>
      <c r="J7" t="s">
        <v>20</v>
      </c>
      <c r="K7" t="s">
        <v>20</v>
      </c>
      <c r="L7" t="s">
        <v>20</v>
      </c>
      <c r="M7" s="1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</row>
    <row r="8" spans="1:19">
      <c r="A8" s="1" t="s">
        <v>27</v>
      </c>
      <c r="B8" t="s">
        <v>20</v>
      </c>
      <c r="C8" t="s">
        <v>22</v>
      </c>
      <c r="D8" t="s">
        <v>22</v>
      </c>
      <c r="E8" t="s">
        <v>22</v>
      </c>
      <c r="F8" t="s">
        <v>22</v>
      </c>
      <c r="G8" s="1" t="s">
        <v>22</v>
      </c>
      <c r="H8" t="s">
        <v>22</v>
      </c>
      <c r="I8" t="s">
        <v>20</v>
      </c>
      <c r="J8" t="s">
        <v>20</v>
      </c>
      <c r="K8" t="s">
        <v>20</v>
      </c>
      <c r="L8" t="s">
        <v>20</v>
      </c>
      <c r="M8" s="1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</row>
    <row r="9" spans="1:19">
      <c r="A9" s="1" t="s">
        <v>28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s="1" t="s">
        <v>22</v>
      </c>
      <c r="H9" t="s">
        <v>20</v>
      </c>
      <c r="I9" t="s">
        <v>20</v>
      </c>
      <c r="J9" t="s">
        <v>20</v>
      </c>
      <c r="K9" t="s">
        <v>20</v>
      </c>
      <c r="L9" t="s">
        <v>22</v>
      </c>
      <c r="M9" s="1" t="s">
        <v>22</v>
      </c>
      <c r="N9" t="s">
        <v>20</v>
      </c>
      <c r="O9" t="s">
        <v>20</v>
      </c>
      <c r="P9" t="s">
        <v>22</v>
      </c>
      <c r="Q9" t="s">
        <v>22</v>
      </c>
      <c r="R9" t="s">
        <v>22</v>
      </c>
      <c r="S9" t="s">
        <v>22</v>
      </c>
    </row>
    <row r="10" spans="1:19">
      <c r="A10" s="1" t="s">
        <v>29</v>
      </c>
      <c r="B10" t="s">
        <v>22</v>
      </c>
      <c r="C10" t="s">
        <v>20</v>
      </c>
      <c r="D10" t="s">
        <v>20</v>
      </c>
      <c r="E10" t="s">
        <v>20</v>
      </c>
      <c r="F10" t="s">
        <v>20</v>
      </c>
      <c r="G10" s="1" t="s">
        <v>22</v>
      </c>
      <c r="H10" t="s">
        <v>22</v>
      </c>
      <c r="I10" t="s">
        <v>20</v>
      </c>
      <c r="J10" t="s">
        <v>20</v>
      </c>
      <c r="K10" t="s">
        <v>22</v>
      </c>
      <c r="L10" t="s">
        <v>22</v>
      </c>
      <c r="M10" s="1" t="s">
        <v>22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</row>
    <row r="11" spans="1:19">
      <c r="A11" s="1" t="s">
        <v>30</v>
      </c>
      <c r="B11" t="s">
        <v>22</v>
      </c>
      <c r="C11" t="s">
        <v>22</v>
      </c>
      <c r="D11" t="s">
        <v>20</v>
      </c>
      <c r="E11" t="s">
        <v>20</v>
      </c>
      <c r="F11" t="s">
        <v>20</v>
      </c>
      <c r="G11" s="1" t="s">
        <v>22</v>
      </c>
      <c r="H11" t="s">
        <v>22</v>
      </c>
      <c r="I11" t="s">
        <v>20</v>
      </c>
      <c r="J11" t="s">
        <v>20</v>
      </c>
      <c r="K11" t="s">
        <v>20</v>
      </c>
      <c r="L11" t="s">
        <v>20</v>
      </c>
      <c r="M11" s="1" t="s">
        <v>22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</row>
    <row r="12" spans="1:19">
      <c r="A12" s="1" t="s">
        <v>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s="1" t="s">
        <v>22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s="1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</row>
    <row r="13" spans="1:19">
      <c r="A13" s="1" t="s">
        <v>32</v>
      </c>
      <c r="B13" t="s">
        <v>22</v>
      </c>
      <c r="C13" t="s">
        <v>22</v>
      </c>
      <c r="D13" t="s">
        <v>22</v>
      </c>
      <c r="E13" t="s">
        <v>22</v>
      </c>
      <c r="F13" t="s">
        <v>20</v>
      </c>
      <c r="G13" s="1" t="s">
        <v>22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s="1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</row>
    <row r="14" spans="1:19">
      <c r="A14" s="1" t="s">
        <v>33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s="1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s="1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</row>
    <row r="15" spans="1:19">
      <c r="A15" s="1" t="s">
        <v>34</v>
      </c>
      <c r="B15" t="s">
        <v>20</v>
      </c>
      <c r="C15" t="s">
        <v>22</v>
      </c>
      <c r="D15" t="s">
        <v>20</v>
      </c>
      <c r="E15" t="s">
        <v>20</v>
      </c>
      <c r="F15" t="s">
        <v>22</v>
      </c>
      <c r="G15" s="1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s="1" t="s">
        <v>20</v>
      </c>
      <c r="N15" t="s">
        <v>22</v>
      </c>
      <c r="O15" t="s">
        <v>22</v>
      </c>
      <c r="P15" t="s">
        <v>20</v>
      </c>
      <c r="Q15" t="s">
        <v>22</v>
      </c>
      <c r="R15" t="s">
        <v>20</v>
      </c>
      <c r="S15" t="s">
        <v>22</v>
      </c>
    </row>
    <row r="16" spans="1:19">
      <c r="A16" s="1" t="s">
        <v>35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s="1" t="s">
        <v>22</v>
      </c>
      <c r="H16" t="s">
        <v>22</v>
      </c>
      <c r="I16" t="s">
        <v>20</v>
      </c>
      <c r="J16" t="s">
        <v>20</v>
      </c>
      <c r="K16" t="s">
        <v>22</v>
      </c>
      <c r="L16" t="s">
        <v>20</v>
      </c>
      <c r="M16" s="1" t="s">
        <v>22</v>
      </c>
      <c r="N16" t="s">
        <v>22</v>
      </c>
      <c r="O16" t="s">
        <v>20</v>
      </c>
      <c r="P16" t="s">
        <v>22</v>
      </c>
      <c r="Q16" t="s">
        <v>20</v>
      </c>
      <c r="R16" t="s">
        <v>22</v>
      </c>
      <c r="S16" t="s">
        <v>22</v>
      </c>
    </row>
    <row r="17" spans="1:19">
      <c r="A17" s="1" t="s">
        <v>36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s="1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s="1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</row>
    <row r="18" spans="1:19">
      <c r="A18" s="1" t="s">
        <v>37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s="1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s="1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</row>
    <row r="19" spans="1:19">
      <c r="A19" s="1" t="s">
        <v>38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s="1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s="1" t="s">
        <v>20</v>
      </c>
      <c r="N19" t="s">
        <v>20</v>
      </c>
      <c r="O19" t="s">
        <v>20</v>
      </c>
      <c r="P19" t="s">
        <v>20</v>
      </c>
      <c r="Q19" t="s">
        <v>20</v>
      </c>
      <c r="R19" t="s">
        <v>20</v>
      </c>
      <c r="S19" t="s">
        <v>20</v>
      </c>
    </row>
    <row r="20" spans="1:19">
      <c r="A20" s="1" t="s">
        <v>39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s="1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s="1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  <c r="S20" t="s">
        <v>20</v>
      </c>
    </row>
    <row r="21" spans="1:19">
      <c r="A21" s="1" t="s">
        <v>40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s="1" t="s">
        <v>20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s="1" t="s">
        <v>22</v>
      </c>
      <c r="N21" t="s">
        <v>20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</row>
    <row r="22" spans="1:19">
      <c r="A22" s="1" t="s">
        <v>41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s="1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s="1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</row>
    <row r="23" spans="1:19">
      <c r="A23" s="1" t="s">
        <v>42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s="1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s="1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  <c r="S23" t="s">
        <v>20</v>
      </c>
    </row>
    <row r="24" spans="1:19">
      <c r="A24" s="1" t="s">
        <v>43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s="1" t="s">
        <v>20</v>
      </c>
      <c r="H24" t="s">
        <v>20</v>
      </c>
      <c r="I24" t="s">
        <v>20</v>
      </c>
      <c r="J24" t="s">
        <v>20</v>
      </c>
      <c r="K24" t="s">
        <v>22</v>
      </c>
      <c r="L24" t="s">
        <v>20</v>
      </c>
      <c r="M24" s="1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  <c r="S24" t="s">
        <v>20</v>
      </c>
    </row>
    <row r="25" spans="1:19">
      <c r="A25" s="1" t="s">
        <v>44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s="1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s="1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  <c r="S25" t="s">
        <v>20</v>
      </c>
    </row>
    <row r="26" spans="1:19">
      <c r="A26" s="1" t="s">
        <v>45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s="1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s="1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  <c r="S26" t="s">
        <v>20</v>
      </c>
    </row>
    <row r="27" spans="1:19">
      <c r="A27" s="1" t="s">
        <v>46</v>
      </c>
      <c r="B27" t="s">
        <v>22</v>
      </c>
      <c r="C27" t="s">
        <v>20</v>
      </c>
      <c r="D27" t="s">
        <v>20</v>
      </c>
      <c r="E27" t="s">
        <v>20</v>
      </c>
      <c r="F27" t="s">
        <v>22</v>
      </c>
      <c r="G27" s="1" t="s">
        <v>20</v>
      </c>
      <c r="H27" t="s">
        <v>22</v>
      </c>
      <c r="I27" t="s">
        <v>20</v>
      </c>
      <c r="J27" t="s">
        <v>22</v>
      </c>
      <c r="K27" t="s">
        <v>20</v>
      </c>
      <c r="L27" t="s">
        <v>22</v>
      </c>
      <c r="M27" s="1" t="s">
        <v>20</v>
      </c>
      <c r="N27" t="s">
        <v>22</v>
      </c>
      <c r="O27" t="s">
        <v>20</v>
      </c>
      <c r="P27" t="s">
        <v>20</v>
      </c>
      <c r="Q27" t="s">
        <v>20</v>
      </c>
      <c r="R27" t="s">
        <v>22</v>
      </c>
      <c r="S27" t="s">
        <v>20</v>
      </c>
    </row>
    <row r="28" spans="1:19">
      <c r="A28" s="1" t="s">
        <v>47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s="1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s="1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  <c r="S28" t="s">
        <v>20</v>
      </c>
    </row>
    <row r="29" spans="1:19">
      <c r="A29" s="1" t="s">
        <v>48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s="1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s="1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  <c r="S29" t="s">
        <v>20</v>
      </c>
    </row>
    <row r="30" spans="1:19">
      <c r="A30" s="1" t="s">
        <v>49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s="1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s="1" t="s">
        <v>20</v>
      </c>
      <c r="N30" t="s">
        <v>20</v>
      </c>
      <c r="O30" t="s">
        <v>22</v>
      </c>
      <c r="P30" t="s">
        <v>20</v>
      </c>
      <c r="Q30" t="s">
        <v>20</v>
      </c>
      <c r="R30" t="s">
        <v>20</v>
      </c>
      <c r="S30" t="s">
        <v>20</v>
      </c>
    </row>
    <row r="31" spans="1:19" s="3" customFormat="1">
      <c r="A31" s="2" t="s">
        <v>50</v>
      </c>
      <c r="B31" s="3" t="s">
        <v>20</v>
      </c>
      <c r="C31" s="3" t="s">
        <v>20</v>
      </c>
      <c r="D31" s="3" t="s">
        <v>20</v>
      </c>
      <c r="E31" s="3" t="s">
        <v>20</v>
      </c>
      <c r="F31" s="3" t="s">
        <v>20</v>
      </c>
      <c r="G31" s="2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2" t="s">
        <v>20</v>
      </c>
      <c r="N31" s="3" t="s">
        <v>20</v>
      </c>
      <c r="O31" s="3" t="s">
        <v>20</v>
      </c>
      <c r="P31" s="3" t="s">
        <v>20</v>
      </c>
      <c r="Q31" s="3" t="s">
        <v>20</v>
      </c>
      <c r="R31" s="3" t="s">
        <v>20</v>
      </c>
      <c r="S31" s="3" t="s">
        <v>20</v>
      </c>
    </row>
    <row r="32" spans="1:19">
      <c r="A32" s="1" t="s">
        <v>51</v>
      </c>
      <c r="B32" t="s">
        <v>22</v>
      </c>
      <c r="C32" t="s">
        <v>22</v>
      </c>
      <c r="D32" t="s">
        <v>22</v>
      </c>
      <c r="E32" t="s">
        <v>20</v>
      </c>
      <c r="F32" t="s">
        <v>20</v>
      </c>
      <c r="G32" s="1" t="s">
        <v>22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s="1" t="s">
        <v>20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</row>
    <row r="33" spans="1:19">
      <c r="A33" s="1" t="s">
        <v>52</v>
      </c>
      <c r="B33" t="s">
        <v>22</v>
      </c>
      <c r="C33" t="s">
        <v>20</v>
      </c>
      <c r="D33" t="s">
        <v>20</v>
      </c>
      <c r="E33" t="s">
        <v>22</v>
      </c>
      <c r="F33" t="s">
        <v>20</v>
      </c>
      <c r="G33" s="1" t="s">
        <v>20</v>
      </c>
      <c r="H33" t="s">
        <v>22</v>
      </c>
      <c r="I33" t="s">
        <v>20</v>
      </c>
      <c r="J33" t="s">
        <v>20</v>
      </c>
      <c r="K33" t="s">
        <v>20</v>
      </c>
      <c r="L33" t="s">
        <v>20</v>
      </c>
      <c r="M33" s="1" t="s">
        <v>22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  <c r="S33" t="s">
        <v>20</v>
      </c>
    </row>
    <row r="34" spans="1:19">
      <c r="A34" s="1" t="s">
        <v>53</v>
      </c>
      <c r="B34" t="s">
        <v>22</v>
      </c>
      <c r="C34" t="s">
        <v>22</v>
      </c>
      <c r="D34" t="s">
        <v>20</v>
      </c>
      <c r="E34" t="s">
        <v>22</v>
      </c>
      <c r="F34" t="s">
        <v>20</v>
      </c>
      <c r="G34" s="1" t="s">
        <v>20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s="1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</row>
    <row r="35" spans="1:19">
      <c r="A35" s="1" t="s">
        <v>54</v>
      </c>
      <c r="B35" t="s">
        <v>22</v>
      </c>
      <c r="C35" t="s">
        <v>22</v>
      </c>
      <c r="D35" t="s">
        <v>20</v>
      </c>
      <c r="E35" t="s">
        <v>20</v>
      </c>
      <c r="F35" t="s">
        <v>20</v>
      </c>
      <c r="G35" s="1" t="s">
        <v>22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s="1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  <c r="S35" t="s">
        <v>20</v>
      </c>
    </row>
    <row r="36" spans="1:19">
      <c r="A36" s="1" t="s">
        <v>55</v>
      </c>
      <c r="B36" t="s">
        <v>20</v>
      </c>
      <c r="C36" t="s">
        <v>22</v>
      </c>
      <c r="D36" t="s">
        <v>20</v>
      </c>
      <c r="E36" t="s">
        <v>22</v>
      </c>
      <c r="F36" t="s">
        <v>22</v>
      </c>
      <c r="G36" s="1" t="s">
        <v>22</v>
      </c>
      <c r="H36" t="s">
        <v>20</v>
      </c>
      <c r="I36" t="s">
        <v>22</v>
      </c>
      <c r="J36" t="s">
        <v>20</v>
      </c>
      <c r="K36" t="s">
        <v>20</v>
      </c>
      <c r="L36" t="s">
        <v>20</v>
      </c>
      <c r="M36" s="1" t="s">
        <v>20</v>
      </c>
      <c r="N36" t="s">
        <v>22</v>
      </c>
      <c r="O36" t="s">
        <v>22</v>
      </c>
      <c r="P36" t="s">
        <v>22</v>
      </c>
      <c r="Q36" t="s">
        <v>20</v>
      </c>
      <c r="R36" t="s">
        <v>22</v>
      </c>
      <c r="S36" t="s">
        <v>22</v>
      </c>
    </row>
    <row r="37" spans="1:19">
      <c r="A37" s="1" t="s">
        <v>56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s="1" t="s">
        <v>22</v>
      </c>
      <c r="H37" t="s">
        <v>20</v>
      </c>
      <c r="I37" t="s">
        <v>20</v>
      </c>
      <c r="J37" t="s">
        <v>22</v>
      </c>
      <c r="K37" t="s">
        <v>22</v>
      </c>
      <c r="L37" t="s">
        <v>22</v>
      </c>
      <c r="M37" s="1" t="s">
        <v>22</v>
      </c>
      <c r="N37" t="s">
        <v>20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</row>
    <row r="38" spans="1:19">
      <c r="A38" s="1" t="s">
        <v>57</v>
      </c>
      <c r="B38" t="s">
        <v>22</v>
      </c>
      <c r="C38" t="s">
        <v>22</v>
      </c>
      <c r="D38" t="s">
        <v>20</v>
      </c>
      <c r="E38" t="s">
        <v>20</v>
      </c>
      <c r="F38" t="s">
        <v>20</v>
      </c>
      <c r="G38" s="1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s="1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</row>
    <row r="39" spans="1:19">
      <c r="A39" s="1" t="s">
        <v>58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s="1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s="1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  <c r="S39" t="s">
        <v>20</v>
      </c>
    </row>
    <row r="40" spans="1:19">
      <c r="A40" s="1" t="s">
        <v>59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s="1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s="1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  <c r="S40" t="s">
        <v>20</v>
      </c>
    </row>
    <row r="41" spans="1:19">
      <c r="A41" s="1" t="s">
        <v>60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s="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s="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  <c r="S41" t="s">
        <v>20</v>
      </c>
    </row>
    <row r="42" spans="1:19">
      <c r="A42" s="1" t="s">
        <v>61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s="1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20</v>
      </c>
      <c r="M42" s="1" t="s">
        <v>22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</row>
    <row r="43" spans="1:19">
      <c r="A43" s="1" t="s">
        <v>62</v>
      </c>
      <c r="B43" t="s">
        <v>20</v>
      </c>
      <c r="C43" t="s">
        <v>20</v>
      </c>
      <c r="D43" t="s">
        <v>22</v>
      </c>
      <c r="E43" t="s">
        <v>22</v>
      </c>
      <c r="F43" t="s">
        <v>20</v>
      </c>
      <c r="G43" s="1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s="1" t="s">
        <v>20</v>
      </c>
      <c r="N43" t="s">
        <v>20</v>
      </c>
      <c r="O43" t="s">
        <v>22</v>
      </c>
      <c r="P43" t="s">
        <v>20</v>
      </c>
      <c r="Q43" t="s">
        <v>22</v>
      </c>
      <c r="R43" t="s">
        <v>22</v>
      </c>
      <c r="S43" t="s">
        <v>20</v>
      </c>
    </row>
    <row r="44" spans="1:19">
      <c r="A44" s="1" t="s">
        <v>63</v>
      </c>
      <c r="B44" t="s">
        <v>22</v>
      </c>
      <c r="C44" t="s">
        <v>22</v>
      </c>
      <c r="D44" t="s">
        <v>22</v>
      </c>
      <c r="E44" t="s">
        <v>22</v>
      </c>
      <c r="F44" t="s">
        <v>20</v>
      </c>
      <c r="G44" s="1" t="s">
        <v>22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s="1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  <c r="S44" t="s">
        <v>20</v>
      </c>
    </row>
    <row r="45" spans="1:19">
      <c r="A45" s="1" t="s">
        <v>64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s="1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s="1" t="s">
        <v>22</v>
      </c>
      <c r="N45" t="s">
        <v>20</v>
      </c>
      <c r="O45" t="s">
        <v>20</v>
      </c>
      <c r="P45" t="s">
        <v>20</v>
      </c>
      <c r="Q45" t="s">
        <v>20</v>
      </c>
      <c r="R45" t="s">
        <v>20</v>
      </c>
      <c r="S45" t="s">
        <v>20</v>
      </c>
    </row>
    <row r="46" spans="1:19">
      <c r="A46" s="1" t="s">
        <v>65</v>
      </c>
      <c r="B46" t="s">
        <v>22</v>
      </c>
      <c r="C46" t="s">
        <v>22</v>
      </c>
      <c r="D46" t="s">
        <v>22</v>
      </c>
      <c r="E46" t="s">
        <v>22</v>
      </c>
      <c r="F46" t="s">
        <v>22</v>
      </c>
      <c r="G46" s="1" t="s">
        <v>22</v>
      </c>
      <c r="H46" t="s">
        <v>22</v>
      </c>
      <c r="I46" t="s">
        <v>22</v>
      </c>
      <c r="J46" t="s">
        <v>22</v>
      </c>
      <c r="K46" t="s">
        <v>20</v>
      </c>
      <c r="L46" t="s">
        <v>20</v>
      </c>
      <c r="M46" s="1" t="s">
        <v>22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</row>
    <row r="47" spans="1:19">
      <c r="A47" s="1" t="s">
        <v>66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s="1" t="s">
        <v>20</v>
      </c>
      <c r="H47" t="s">
        <v>20</v>
      </c>
      <c r="I47" t="s">
        <v>22</v>
      </c>
      <c r="J47" t="s">
        <v>22</v>
      </c>
      <c r="K47" t="s">
        <v>22</v>
      </c>
      <c r="L47" t="s">
        <v>22</v>
      </c>
      <c r="M47" s="1" t="s">
        <v>20</v>
      </c>
      <c r="N47" t="s">
        <v>20</v>
      </c>
      <c r="O47" t="s">
        <v>20</v>
      </c>
      <c r="P47" t="s">
        <v>22</v>
      </c>
      <c r="Q47" t="s">
        <v>20</v>
      </c>
      <c r="R47" t="s">
        <v>20</v>
      </c>
      <c r="S47" t="s">
        <v>20</v>
      </c>
    </row>
    <row r="48" spans="1:19">
      <c r="A48" s="1" t="s">
        <v>67</v>
      </c>
      <c r="B48" t="s">
        <v>22</v>
      </c>
      <c r="C48" t="s">
        <v>22</v>
      </c>
      <c r="D48" t="s">
        <v>20</v>
      </c>
      <c r="E48" t="s">
        <v>20</v>
      </c>
      <c r="F48" t="s">
        <v>22</v>
      </c>
      <c r="G48" s="1" t="s">
        <v>20</v>
      </c>
      <c r="H48" t="s">
        <v>22</v>
      </c>
      <c r="I48" t="s">
        <v>20</v>
      </c>
      <c r="J48" t="s">
        <v>22</v>
      </c>
      <c r="K48" t="s">
        <v>22</v>
      </c>
      <c r="L48" t="s">
        <v>22</v>
      </c>
      <c r="M48" s="1" t="s">
        <v>20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</row>
    <row r="49" spans="1:19">
      <c r="A49" s="1" t="s">
        <v>68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s="1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s="1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  <c r="S49" t="s">
        <v>20</v>
      </c>
    </row>
    <row r="50" spans="1:19">
      <c r="A50" s="1" t="s">
        <v>69</v>
      </c>
      <c r="B50" t="s">
        <v>20</v>
      </c>
      <c r="C50" t="s">
        <v>22</v>
      </c>
      <c r="D50" t="s">
        <v>22</v>
      </c>
      <c r="E50" t="s">
        <v>22</v>
      </c>
      <c r="F50" t="s">
        <v>22</v>
      </c>
      <c r="G50" s="1" t="s">
        <v>20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s="1" t="s">
        <v>22</v>
      </c>
      <c r="N50" t="s">
        <v>22</v>
      </c>
      <c r="O50" t="s">
        <v>20</v>
      </c>
      <c r="P50" t="s">
        <v>20</v>
      </c>
      <c r="Q50" t="s">
        <v>20</v>
      </c>
      <c r="R50" t="s">
        <v>20</v>
      </c>
      <c r="S50" t="s">
        <v>22</v>
      </c>
    </row>
    <row r="51" spans="1:19">
      <c r="A51" s="1" t="s">
        <v>70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s="1" t="s">
        <v>20</v>
      </c>
      <c r="H51" t="s">
        <v>20</v>
      </c>
      <c r="I51" t="s">
        <v>20</v>
      </c>
      <c r="J51" t="s">
        <v>20</v>
      </c>
      <c r="K51" t="s">
        <v>22</v>
      </c>
      <c r="L51" t="s">
        <v>22</v>
      </c>
      <c r="M51" s="1" t="s">
        <v>20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  <c r="S51" t="s">
        <v>20</v>
      </c>
    </row>
    <row r="52" spans="1:19">
      <c r="A52" s="1" t="s">
        <v>71</v>
      </c>
      <c r="B52" t="s">
        <v>22</v>
      </c>
      <c r="C52" t="s">
        <v>20</v>
      </c>
      <c r="D52" t="s">
        <v>22</v>
      </c>
      <c r="E52" t="s">
        <v>22</v>
      </c>
      <c r="F52" t="s">
        <v>22</v>
      </c>
      <c r="G52" s="1" t="s">
        <v>20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s="1" t="s">
        <v>22</v>
      </c>
      <c r="N52" t="s">
        <v>20</v>
      </c>
      <c r="O52" t="s">
        <v>20</v>
      </c>
      <c r="P52" t="s">
        <v>20</v>
      </c>
      <c r="Q52" t="s">
        <v>20</v>
      </c>
      <c r="R52" t="s">
        <v>20</v>
      </c>
      <c r="S52" t="s">
        <v>20</v>
      </c>
    </row>
    <row r="53" spans="1:19">
      <c r="A53" s="1" t="s">
        <v>72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s="1" t="s">
        <v>20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s="1" t="s">
        <v>22</v>
      </c>
      <c r="N53" t="s">
        <v>20</v>
      </c>
      <c r="O53" t="s">
        <v>20</v>
      </c>
      <c r="P53" t="s">
        <v>20</v>
      </c>
      <c r="Q53" t="s">
        <v>20</v>
      </c>
      <c r="R53" t="s">
        <v>22</v>
      </c>
      <c r="S53" t="s">
        <v>20</v>
      </c>
    </row>
    <row r="54" spans="1:19">
      <c r="A54" s="1" t="s">
        <v>73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s="1" t="s">
        <v>20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s="1" t="s">
        <v>22</v>
      </c>
      <c r="N54" t="s">
        <v>20</v>
      </c>
      <c r="O54" t="s">
        <v>20</v>
      </c>
      <c r="P54" t="s">
        <v>20</v>
      </c>
      <c r="Q54" t="s">
        <v>20</v>
      </c>
      <c r="R54" t="s">
        <v>20</v>
      </c>
      <c r="S54" t="s">
        <v>20</v>
      </c>
    </row>
    <row r="55" spans="1:19">
      <c r="A55" s="1" t="s">
        <v>74</v>
      </c>
      <c r="B55" t="s">
        <v>22</v>
      </c>
      <c r="C55" t="s">
        <v>20</v>
      </c>
      <c r="D55" t="s">
        <v>20</v>
      </c>
      <c r="E55" t="s">
        <v>22</v>
      </c>
      <c r="F55" t="s">
        <v>22</v>
      </c>
      <c r="G55" s="1" t="s">
        <v>22</v>
      </c>
      <c r="H55" t="s">
        <v>22</v>
      </c>
      <c r="I55" t="s">
        <v>20</v>
      </c>
      <c r="J55" t="s">
        <v>20</v>
      </c>
      <c r="K55" t="s">
        <v>22</v>
      </c>
      <c r="L55" t="s">
        <v>22</v>
      </c>
      <c r="M55" s="1" t="s">
        <v>22</v>
      </c>
      <c r="N55" t="s">
        <v>22</v>
      </c>
      <c r="O55" t="s">
        <v>20</v>
      </c>
      <c r="P55" t="s">
        <v>20</v>
      </c>
      <c r="Q55" t="s">
        <v>22</v>
      </c>
      <c r="R55" t="s">
        <v>22</v>
      </c>
      <c r="S55" t="s">
        <v>22</v>
      </c>
    </row>
    <row r="56" spans="1:19">
      <c r="A56" s="1" t="s">
        <v>75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s="1" t="s">
        <v>20</v>
      </c>
      <c r="H56" t="s">
        <v>20</v>
      </c>
      <c r="I56" t="s">
        <v>22</v>
      </c>
      <c r="J56" t="s">
        <v>22</v>
      </c>
      <c r="K56" t="s">
        <v>22</v>
      </c>
      <c r="L56" t="s">
        <v>22</v>
      </c>
      <c r="M56" s="1" t="s">
        <v>20</v>
      </c>
      <c r="N56" t="s">
        <v>20</v>
      </c>
      <c r="O56" t="s">
        <v>20</v>
      </c>
      <c r="P56" t="s">
        <v>20</v>
      </c>
      <c r="Q56" t="s">
        <v>22</v>
      </c>
      <c r="R56" t="s">
        <v>22</v>
      </c>
      <c r="S56" t="s">
        <v>20</v>
      </c>
    </row>
    <row r="57" spans="1:19">
      <c r="A57" s="1" t="s">
        <v>76</v>
      </c>
      <c r="B57" t="s">
        <v>20</v>
      </c>
      <c r="C57" t="s">
        <v>20</v>
      </c>
      <c r="D57" t="s">
        <v>20</v>
      </c>
      <c r="E57" t="s">
        <v>22</v>
      </c>
      <c r="F57" t="s">
        <v>22</v>
      </c>
      <c r="G57" s="1" t="s">
        <v>20</v>
      </c>
      <c r="H57" t="s">
        <v>22</v>
      </c>
      <c r="I57" t="s">
        <v>20</v>
      </c>
      <c r="J57" t="s">
        <v>20</v>
      </c>
      <c r="K57" t="s">
        <v>20</v>
      </c>
      <c r="L57" t="s">
        <v>20</v>
      </c>
      <c r="M57" s="1" t="s">
        <v>20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  <c r="S57" t="s">
        <v>20</v>
      </c>
    </row>
    <row r="58" spans="1:19">
      <c r="A58" s="1" t="s">
        <v>77</v>
      </c>
      <c r="B58" t="s">
        <v>22</v>
      </c>
      <c r="C58" t="s">
        <v>20</v>
      </c>
      <c r="D58" t="s">
        <v>20</v>
      </c>
      <c r="E58" t="s">
        <v>20</v>
      </c>
      <c r="F58" t="s">
        <v>20</v>
      </c>
      <c r="G58" s="1" t="s">
        <v>20</v>
      </c>
      <c r="H58" t="s">
        <v>22</v>
      </c>
      <c r="I58" t="s">
        <v>20</v>
      </c>
      <c r="J58" t="s">
        <v>22</v>
      </c>
      <c r="K58" t="s">
        <v>20</v>
      </c>
      <c r="L58" t="s">
        <v>20</v>
      </c>
      <c r="M58" s="1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  <c r="S58" t="s">
        <v>20</v>
      </c>
    </row>
    <row r="59" spans="1:19">
      <c r="A59" s="1" t="s">
        <v>78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s="1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s="1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</row>
    <row r="60" spans="1:19">
      <c r="A60" s="1" t="s">
        <v>79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s="1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s="1" t="s">
        <v>20</v>
      </c>
      <c r="N60" t="s">
        <v>20</v>
      </c>
      <c r="O60" t="s">
        <v>22</v>
      </c>
      <c r="P60" t="s">
        <v>20</v>
      </c>
      <c r="Q60" t="s">
        <v>20</v>
      </c>
      <c r="R60" t="s">
        <v>20</v>
      </c>
      <c r="S60" t="s">
        <v>20</v>
      </c>
    </row>
    <row r="61" spans="1:19" s="3" customFormat="1">
      <c r="A61" s="2" t="s">
        <v>80</v>
      </c>
      <c r="B61" s="3" t="s">
        <v>20</v>
      </c>
      <c r="C61" s="3" t="s">
        <v>20</v>
      </c>
      <c r="D61" s="3" t="s">
        <v>20</v>
      </c>
      <c r="E61" s="3" t="s">
        <v>20</v>
      </c>
      <c r="F61" s="3" t="s">
        <v>20</v>
      </c>
      <c r="G61" s="2" t="s">
        <v>20</v>
      </c>
      <c r="H61" s="3" t="s">
        <v>20</v>
      </c>
      <c r="I61" s="3" t="s">
        <v>20</v>
      </c>
      <c r="J61" s="3" t="s">
        <v>22</v>
      </c>
      <c r="K61" s="3" t="s">
        <v>22</v>
      </c>
      <c r="L61" s="3" t="s">
        <v>22</v>
      </c>
      <c r="M61" s="2" t="s">
        <v>20</v>
      </c>
      <c r="N61" s="3" t="s">
        <v>22</v>
      </c>
      <c r="O61" s="3" t="s">
        <v>20</v>
      </c>
      <c r="P61" s="3" t="s">
        <v>20</v>
      </c>
      <c r="Q61" s="3" t="s">
        <v>20</v>
      </c>
      <c r="R61" s="3" t="s">
        <v>20</v>
      </c>
      <c r="S61" s="3" t="s">
        <v>20</v>
      </c>
    </row>
    <row r="62" spans="1:19">
      <c r="A62" s="1" t="s">
        <v>81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s="1" t="s">
        <v>22</v>
      </c>
      <c r="H62" t="s">
        <v>22</v>
      </c>
      <c r="I62" t="s">
        <v>20</v>
      </c>
      <c r="J62" t="s">
        <v>20</v>
      </c>
      <c r="K62" t="s">
        <v>20</v>
      </c>
      <c r="L62" t="s">
        <v>22</v>
      </c>
      <c r="M62" s="1" t="s">
        <v>22</v>
      </c>
      <c r="N62" t="s">
        <v>20</v>
      </c>
      <c r="O62" t="s">
        <v>20</v>
      </c>
      <c r="P62" t="s">
        <v>20</v>
      </c>
      <c r="Q62" t="s">
        <v>20</v>
      </c>
      <c r="R62" t="s">
        <v>20</v>
      </c>
      <c r="S62" t="s">
        <v>20</v>
      </c>
    </row>
    <row r="63" spans="1:19">
      <c r="A63" s="1" t="s">
        <v>82</v>
      </c>
      <c r="B63" t="s">
        <v>22</v>
      </c>
      <c r="C63" t="s">
        <v>20</v>
      </c>
      <c r="D63" t="s">
        <v>20</v>
      </c>
      <c r="E63" t="s">
        <v>22</v>
      </c>
      <c r="F63" t="s">
        <v>20</v>
      </c>
      <c r="G63" s="1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s="1" t="s">
        <v>20</v>
      </c>
      <c r="N63" t="s">
        <v>22</v>
      </c>
      <c r="O63" t="s">
        <v>20</v>
      </c>
      <c r="P63" t="s">
        <v>20</v>
      </c>
      <c r="Q63" t="s">
        <v>20</v>
      </c>
      <c r="R63" t="s">
        <v>20</v>
      </c>
      <c r="S63" t="s">
        <v>22</v>
      </c>
    </row>
    <row r="64" spans="1:19">
      <c r="A64" s="1" t="s">
        <v>83</v>
      </c>
      <c r="B64" t="s">
        <v>20</v>
      </c>
      <c r="C64" t="s">
        <v>22</v>
      </c>
      <c r="D64" t="s">
        <v>22</v>
      </c>
      <c r="E64" t="s">
        <v>22</v>
      </c>
      <c r="F64" t="s">
        <v>20</v>
      </c>
      <c r="G64" s="1" t="s">
        <v>22</v>
      </c>
      <c r="H64" t="s">
        <v>20</v>
      </c>
      <c r="I64" t="s">
        <v>22</v>
      </c>
      <c r="J64" t="s">
        <v>22</v>
      </c>
      <c r="K64" t="s">
        <v>22</v>
      </c>
      <c r="L64" t="s">
        <v>20</v>
      </c>
      <c r="M64" s="1" t="s">
        <v>22</v>
      </c>
      <c r="N64" t="s">
        <v>20</v>
      </c>
      <c r="O64" t="s">
        <v>22</v>
      </c>
      <c r="P64" t="s">
        <v>20</v>
      </c>
      <c r="Q64" t="s">
        <v>20</v>
      </c>
      <c r="R64" t="s">
        <v>20</v>
      </c>
      <c r="S64" t="s">
        <v>22</v>
      </c>
    </row>
    <row r="65" spans="1:19">
      <c r="A65" s="1" t="s">
        <v>84</v>
      </c>
      <c r="B65" t="s">
        <v>22</v>
      </c>
      <c r="C65" t="s">
        <v>20</v>
      </c>
      <c r="D65" t="s">
        <v>20</v>
      </c>
      <c r="E65" t="s">
        <v>20</v>
      </c>
      <c r="F65" t="s">
        <v>20</v>
      </c>
      <c r="G65" s="1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s="1" t="s">
        <v>20</v>
      </c>
      <c r="N65" t="s">
        <v>20</v>
      </c>
      <c r="O65" t="s">
        <v>20</v>
      </c>
      <c r="P65" t="s">
        <v>20</v>
      </c>
      <c r="Q65" t="s">
        <v>20</v>
      </c>
      <c r="R65" t="s">
        <v>20</v>
      </c>
      <c r="S65" t="s">
        <v>20</v>
      </c>
    </row>
    <row r="66" spans="1:19">
      <c r="A66" s="1" t="s">
        <v>85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s="1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s="1" t="s">
        <v>20</v>
      </c>
      <c r="N66" t="s">
        <v>20</v>
      </c>
      <c r="O66" t="s">
        <v>20</v>
      </c>
      <c r="P66" t="s">
        <v>20</v>
      </c>
      <c r="Q66" t="s">
        <v>20</v>
      </c>
      <c r="R66" t="s">
        <v>20</v>
      </c>
      <c r="S66" t="s">
        <v>20</v>
      </c>
    </row>
    <row r="67" spans="1:19">
      <c r="A67" s="1" t="s">
        <v>86</v>
      </c>
      <c r="B67" t="s">
        <v>22</v>
      </c>
      <c r="C67" t="s">
        <v>20</v>
      </c>
      <c r="D67" t="s">
        <v>20</v>
      </c>
      <c r="E67" t="s">
        <v>20</v>
      </c>
      <c r="F67" t="s">
        <v>20</v>
      </c>
      <c r="G67" s="1" t="s">
        <v>20</v>
      </c>
      <c r="H67" t="s">
        <v>22</v>
      </c>
      <c r="I67" t="s">
        <v>20</v>
      </c>
      <c r="J67" t="s">
        <v>20</v>
      </c>
      <c r="K67" t="s">
        <v>20</v>
      </c>
      <c r="L67" t="s">
        <v>20</v>
      </c>
      <c r="M67" s="1" t="s">
        <v>20</v>
      </c>
      <c r="N67" t="s">
        <v>20</v>
      </c>
      <c r="O67" t="s">
        <v>20</v>
      </c>
      <c r="P67" t="s">
        <v>20</v>
      </c>
      <c r="Q67" t="s">
        <v>20</v>
      </c>
      <c r="R67" t="s">
        <v>20</v>
      </c>
      <c r="S67" t="s">
        <v>20</v>
      </c>
    </row>
    <row r="68" spans="1:19">
      <c r="A68" s="1" t="s">
        <v>87</v>
      </c>
      <c r="B68" t="s">
        <v>20</v>
      </c>
      <c r="C68" t="s">
        <v>22</v>
      </c>
      <c r="D68" t="s">
        <v>22</v>
      </c>
      <c r="E68" t="s">
        <v>22</v>
      </c>
      <c r="F68" t="s">
        <v>20</v>
      </c>
      <c r="G68" s="1" t="s">
        <v>22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s="1" t="s">
        <v>20</v>
      </c>
      <c r="N68" t="s">
        <v>20</v>
      </c>
      <c r="O68" t="s">
        <v>22</v>
      </c>
      <c r="P68" t="s">
        <v>20</v>
      </c>
      <c r="Q68" t="s">
        <v>20</v>
      </c>
      <c r="R68" t="s">
        <v>20</v>
      </c>
      <c r="S68" t="s">
        <v>22</v>
      </c>
    </row>
    <row r="69" spans="1:19">
      <c r="A69" s="1" t="s">
        <v>88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s="1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s="1" t="s">
        <v>20</v>
      </c>
      <c r="N69" t="s">
        <v>20</v>
      </c>
      <c r="O69" t="s">
        <v>20</v>
      </c>
      <c r="P69" t="s">
        <v>20</v>
      </c>
      <c r="Q69" t="s">
        <v>20</v>
      </c>
      <c r="R69" t="s">
        <v>20</v>
      </c>
      <c r="S69" t="s">
        <v>20</v>
      </c>
    </row>
    <row r="70" spans="1:19">
      <c r="A70" s="1" t="s">
        <v>89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s="1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s="1" t="s">
        <v>20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  <c r="S70" t="s">
        <v>20</v>
      </c>
    </row>
    <row r="71" spans="1:19">
      <c r="A71" s="1" t="s">
        <v>90</v>
      </c>
      <c r="B71" t="s">
        <v>22</v>
      </c>
      <c r="C71" t="s">
        <v>22</v>
      </c>
      <c r="D71" t="s">
        <v>20</v>
      </c>
      <c r="E71" t="s">
        <v>22</v>
      </c>
      <c r="F71" t="s">
        <v>22</v>
      </c>
      <c r="G71" s="1" t="s">
        <v>22</v>
      </c>
      <c r="H71" t="s">
        <v>20</v>
      </c>
      <c r="I71" t="s">
        <v>20</v>
      </c>
      <c r="J71" t="s">
        <v>20</v>
      </c>
      <c r="K71" t="s">
        <v>22</v>
      </c>
      <c r="L71" t="s">
        <v>20</v>
      </c>
      <c r="M71" s="1" t="s">
        <v>20</v>
      </c>
      <c r="N71" t="s">
        <v>22</v>
      </c>
      <c r="O71" t="s">
        <v>22</v>
      </c>
      <c r="P71" t="s">
        <v>22</v>
      </c>
      <c r="Q71" t="s">
        <v>22</v>
      </c>
      <c r="R71" t="s">
        <v>20</v>
      </c>
      <c r="S71" t="s">
        <v>20</v>
      </c>
    </row>
    <row r="72" spans="1:19">
      <c r="A72" s="1" t="s">
        <v>91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s="1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s="1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  <c r="S72" t="s">
        <v>20</v>
      </c>
    </row>
    <row r="73" spans="1:19">
      <c r="A73" s="1" t="s">
        <v>92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s="1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s="1" t="s">
        <v>20</v>
      </c>
      <c r="N73" t="s">
        <v>20</v>
      </c>
      <c r="O73" t="s">
        <v>20</v>
      </c>
      <c r="P73" t="s">
        <v>20</v>
      </c>
      <c r="Q73" t="s">
        <v>20</v>
      </c>
      <c r="R73" t="s">
        <v>20</v>
      </c>
      <c r="S73" t="s">
        <v>20</v>
      </c>
    </row>
    <row r="74" spans="1:19">
      <c r="A74" s="1" t="s">
        <v>93</v>
      </c>
      <c r="B74" t="s">
        <v>20</v>
      </c>
      <c r="C74" t="s">
        <v>20</v>
      </c>
      <c r="D74" t="s">
        <v>20</v>
      </c>
      <c r="E74" t="s">
        <v>20</v>
      </c>
      <c r="F74" t="s">
        <v>22</v>
      </c>
      <c r="G74" s="1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s="1" t="s">
        <v>20</v>
      </c>
      <c r="N74" t="s">
        <v>20</v>
      </c>
      <c r="O74" t="s">
        <v>20</v>
      </c>
      <c r="P74" t="s">
        <v>20</v>
      </c>
      <c r="Q74" t="s">
        <v>20</v>
      </c>
      <c r="R74" t="s">
        <v>20</v>
      </c>
      <c r="S74" t="s">
        <v>20</v>
      </c>
    </row>
    <row r="75" spans="1:19">
      <c r="A75" s="1" t="s">
        <v>94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s="1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s="1" t="s">
        <v>20</v>
      </c>
      <c r="N75" t="s">
        <v>20</v>
      </c>
      <c r="O75" t="s">
        <v>20</v>
      </c>
      <c r="P75" t="s">
        <v>20</v>
      </c>
      <c r="Q75" t="s">
        <v>20</v>
      </c>
      <c r="R75" t="s">
        <v>20</v>
      </c>
      <c r="S75" t="s">
        <v>20</v>
      </c>
    </row>
    <row r="76" spans="1:19">
      <c r="A76" s="1" t="s">
        <v>95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s="1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s="1" t="s">
        <v>20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  <c r="S76" t="s">
        <v>20</v>
      </c>
    </row>
    <row r="77" spans="1:19">
      <c r="A77" s="1" t="s">
        <v>96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s="1" t="s">
        <v>20</v>
      </c>
      <c r="H77" t="s">
        <v>20</v>
      </c>
      <c r="I77" t="s">
        <v>22</v>
      </c>
      <c r="J77" t="s">
        <v>22</v>
      </c>
      <c r="K77" t="s">
        <v>22</v>
      </c>
      <c r="L77" t="s">
        <v>20</v>
      </c>
      <c r="M77" s="1" t="s">
        <v>20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  <c r="S77" t="s">
        <v>20</v>
      </c>
    </row>
    <row r="78" spans="1:19">
      <c r="A78" s="1" t="s">
        <v>97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s="1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s="1" t="s">
        <v>22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  <c r="S78" t="s">
        <v>20</v>
      </c>
    </row>
    <row r="79" spans="1:19">
      <c r="A79" s="1" t="s">
        <v>98</v>
      </c>
      <c r="B79" t="s">
        <v>22</v>
      </c>
      <c r="C79" t="s">
        <v>20</v>
      </c>
      <c r="D79" t="s">
        <v>20</v>
      </c>
      <c r="E79" t="s">
        <v>20</v>
      </c>
      <c r="F79" t="s">
        <v>20</v>
      </c>
      <c r="G79" s="1" t="s">
        <v>20</v>
      </c>
      <c r="H79" t="s">
        <v>20</v>
      </c>
      <c r="I79" t="s">
        <v>20</v>
      </c>
      <c r="J79" t="s">
        <v>22</v>
      </c>
      <c r="K79" t="s">
        <v>22</v>
      </c>
      <c r="L79" t="s">
        <v>20</v>
      </c>
      <c r="M79" s="1" t="s">
        <v>22</v>
      </c>
      <c r="N79" t="s">
        <v>20</v>
      </c>
      <c r="O79" t="s">
        <v>22</v>
      </c>
      <c r="P79" t="s">
        <v>22</v>
      </c>
      <c r="Q79" t="s">
        <v>22</v>
      </c>
      <c r="R79" t="s">
        <v>20</v>
      </c>
      <c r="S79" t="s">
        <v>20</v>
      </c>
    </row>
    <row r="80" spans="1:19">
      <c r="A80" s="1" t="s">
        <v>99</v>
      </c>
      <c r="B80" t="s">
        <v>20</v>
      </c>
      <c r="C80" t="s">
        <v>20</v>
      </c>
      <c r="D80" t="s">
        <v>20</v>
      </c>
      <c r="E80" t="s">
        <v>20</v>
      </c>
      <c r="F80" t="s">
        <v>22</v>
      </c>
      <c r="G80" s="1" t="s">
        <v>22</v>
      </c>
      <c r="H80" t="s">
        <v>22</v>
      </c>
      <c r="I80" t="s">
        <v>20</v>
      </c>
      <c r="J80" t="s">
        <v>20</v>
      </c>
      <c r="K80" t="s">
        <v>20</v>
      </c>
      <c r="L80" t="s">
        <v>20</v>
      </c>
      <c r="M80" s="1" t="s">
        <v>20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  <c r="S80" t="s">
        <v>20</v>
      </c>
    </row>
    <row r="81" spans="1:19">
      <c r="A81" s="1" t="s">
        <v>100</v>
      </c>
      <c r="B81" t="s">
        <v>22</v>
      </c>
      <c r="C81" t="s">
        <v>20</v>
      </c>
      <c r="D81" t="s">
        <v>20</v>
      </c>
      <c r="E81" t="s">
        <v>20</v>
      </c>
      <c r="F81" t="s">
        <v>20</v>
      </c>
      <c r="G81" s="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s="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  <c r="S81" t="s">
        <v>20</v>
      </c>
    </row>
    <row r="82" spans="1:19">
      <c r="A82" s="1" t="s">
        <v>101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s="1" t="s">
        <v>20</v>
      </c>
      <c r="H82" t="s">
        <v>22</v>
      </c>
      <c r="I82" t="s">
        <v>22</v>
      </c>
      <c r="J82" t="s">
        <v>22</v>
      </c>
      <c r="K82" t="s">
        <v>20</v>
      </c>
      <c r="L82" t="s">
        <v>22</v>
      </c>
      <c r="M82" s="1" t="s">
        <v>20</v>
      </c>
      <c r="N82" t="s">
        <v>22</v>
      </c>
      <c r="O82" t="s">
        <v>20</v>
      </c>
      <c r="P82" t="s">
        <v>20</v>
      </c>
      <c r="Q82" t="s">
        <v>20</v>
      </c>
      <c r="R82" t="s">
        <v>20</v>
      </c>
      <c r="S82" t="s">
        <v>20</v>
      </c>
    </row>
    <row r="83" spans="1:19">
      <c r="A83" s="1" t="s">
        <v>102</v>
      </c>
      <c r="B83" t="s">
        <v>22</v>
      </c>
      <c r="C83" t="s">
        <v>20</v>
      </c>
      <c r="D83" t="s">
        <v>20</v>
      </c>
      <c r="E83" t="s">
        <v>20</v>
      </c>
      <c r="F83" t="s">
        <v>22</v>
      </c>
      <c r="G83" s="1" t="s">
        <v>20</v>
      </c>
      <c r="H83" t="s">
        <v>22</v>
      </c>
      <c r="I83" t="s">
        <v>22</v>
      </c>
      <c r="J83" t="s">
        <v>20</v>
      </c>
      <c r="K83" t="s">
        <v>20</v>
      </c>
      <c r="L83" t="s">
        <v>22</v>
      </c>
      <c r="M83" s="1" t="s">
        <v>20</v>
      </c>
      <c r="N83" t="s">
        <v>22</v>
      </c>
      <c r="O83" t="s">
        <v>20</v>
      </c>
      <c r="P83" t="s">
        <v>20</v>
      </c>
      <c r="Q83" t="s">
        <v>20</v>
      </c>
      <c r="R83" t="s">
        <v>22</v>
      </c>
      <c r="S83" t="s">
        <v>20</v>
      </c>
    </row>
    <row r="84" spans="1:19">
      <c r="A84" s="1" t="s">
        <v>103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s="1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s="1" t="s">
        <v>20</v>
      </c>
      <c r="N84" t="s">
        <v>20</v>
      </c>
      <c r="O84" t="s">
        <v>20</v>
      </c>
      <c r="P84" t="s">
        <v>20</v>
      </c>
      <c r="Q84" t="s">
        <v>20</v>
      </c>
      <c r="R84" t="s">
        <v>20</v>
      </c>
      <c r="S84" t="s">
        <v>20</v>
      </c>
    </row>
    <row r="85" spans="1:19">
      <c r="A85" s="1" t="s">
        <v>104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s="1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s="1" t="s">
        <v>20</v>
      </c>
      <c r="N85" t="s">
        <v>20</v>
      </c>
      <c r="O85" t="s">
        <v>20</v>
      </c>
      <c r="P85" t="s">
        <v>20</v>
      </c>
      <c r="Q85" t="s">
        <v>20</v>
      </c>
      <c r="R85" t="s">
        <v>20</v>
      </c>
      <c r="S85" t="s">
        <v>20</v>
      </c>
    </row>
    <row r="86" spans="1:19">
      <c r="A86" s="1" t="s">
        <v>105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s="1" t="s">
        <v>20</v>
      </c>
      <c r="H86" t="s">
        <v>22</v>
      </c>
      <c r="I86" t="s">
        <v>22</v>
      </c>
      <c r="J86" t="s">
        <v>20</v>
      </c>
      <c r="K86" t="s">
        <v>20</v>
      </c>
      <c r="L86" t="s">
        <v>20</v>
      </c>
      <c r="M86" s="1" t="s">
        <v>20</v>
      </c>
      <c r="N86" t="s">
        <v>20</v>
      </c>
      <c r="O86" t="s">
        <v>20</v>
      </c>
      <c r="P86" t="s">
        <v>20</v>
      </c>
      <c r="Q86" t="s">
        <v>20</v>
      </c>
      <c r="R86" t="s">
        <v>20</v>
      </c>
      <c r="S86" t="s">
        <v>20</v>
      </c>
    </row>
    <row r="87" spans="1:19">
      <c r="A87" s="1" t="s">
        <v>106</v>
      </c>
      <c r="B87" t="s">
        <v>22</v>
      </c>
      <c r="C87" t="s">
        <v>20</v>
      </c>
      <c r="D87" t="s">
        <v>20</v>
      </c>
      <c r="E87" t="s">
        <v>20</v>
      </c>
      <c r="F87" t="s">
        <v>20</v>
      </c>
      <c r="G87" s="1" t="s">
        <v>20</v>
      </c>
      <c r="H87" t="s">
        <v>22</v>
      </c>
      <c r="I87" t="s">
        <v>20</v>
      </c>
      <c r="J87" t="s">
        <v>20</v>
      </c>
      <c r="K87" t="s">
        <v>20</v>
      </c>
      <c r="L87" t="s">
        <v>20</v>
      </c>
      <c r="M87" s="1" t="s">
        <v>20</v>
      </c>
      <c r="N87" t="s">
        <v>22</v>
      </c>
      <c r="O87" t="s">
        <v>20</v>
      </c>
      <c r="P87" t="s">
        <v>20</v>
      </c>
      <c r="Q87" t="s">
        <v>20</v>
      </c>
      <c r="R87" t="s">
        <v>20</v>
      </c>
      <c r="S87" t="s">
        <v>20</v>
      </c>
    </row>
    <row r="88" spans="1:19">
      <c r="A88" s="1" t="s">
        <v>107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s="1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s="1" t="s">
        <v>20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  <c r="S88" t="s">
        <v>20</v>
      </c>
    </row>
    <row r="89" spans="1:19">
      <c r="A89" s="1" t="s">
        <v>108</v>
      </c>
      <c r="B89" t="s">
        <v>22</v>
      </c>
      <c r="C89" t="s">
        <v>20</v>
      </c>
      <c r="D89" t="s">
        <v>20</v>
      </c>
      <c r="E89" t="s">
        <v>20</v>
      </c>
      <c r="F89" t="s">
        <v>20</v>
      </c>
      <c r="G89" s="1" t="s">
        <v>22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s="1" t="s">
        <v>22</v>
      </c>
      <c r="N89" t="s">
        <v>20</v>
      </c>
      <c r="O89" t="s">
        <v>20</v>
      </c>
      <c r="P89" t="s">
        <v>20</v>
      </c>
      <c r="Q89" t="s">
        <v>20</v>
      </c>
      <c r="R89" t="s">
        <v>20</v>
      </c>
      <c r="S89" t="s">
        <v>20</v>
      </c>
    </row>
    <row r="90" spans="1:19">
      <c r="A90" s="1" t="s">
        <v>109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s="1" t="s">
        <v>20</v>
      </c>
      <c r="H90" t="s">
        <v>22</v>
      </c>
      <c r="I90" t="s">
        <v>20</v>
      </c>
      <c r="J90" t="s">
        <v>22</v>
      </c>
      <c r="K90" t="s">
        <v>22</v>
      </c>
      <c r="L90" t="s">
        <v>22</v>
      </c>
      <c r="M90" s="1" t="s">
        <v>22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  <c r="S90" t="s">
        <v>20</v>
      </c>
    </row>
    <row r="91" spans="1:19" s="3" customFormat="1">
      <c r="A91" s="2" t="s">
        <v>110</v>
      </c>
      <c r="B91" s="3" t="s">
        <v>20</v>
      </c>
      <c r="C91" s="3" t="s">
        <v>20</v>
      </c>
      <c r="D91" s="3" t="s">
        <v>20</v>
      </c>
      <c r="E91" s="3" t="s">
        <v>20</v>
      </c>
      <c r="F91" s="3" t="s">
        <v>20</v>
      </c>
      <c r="G91" s="2" t="s">
        <v>20</v>
      </c>
      <c r="H91" s="3" t="s">
        <v>20</v>
      </c>
      <c r="I91" s="3" t="s">
        <v>20</v>
      </c>
      <c r="J91" s="3" t="s">
        <v>20</v>
      </c>
      <c r="K91" s="3" t="s">
        <v>20</v>
      </c>
      <c r="L91" s="3" t="s">
        <v>20</v>
      </c>
      <c r="M91" s="2" t="s">
        <v>20</v>
      </c>
      <c r="N91" s="3" t="s">
        <v>20</v>
      </c>
      <c r="O91" s="3" t="s">
        <v>20</v>
      </c>
      <c r="P91" s="3" t="s">
        <v>20</v>
      </c>
      <c r="Q91" s="3" t="s">
        <v>20</v>
      </c>
      <c r="R91" s="3" t="s">
        <v>20</v>
      </c>
      <c r="S91" s="3" t="s">
        <v>20</v>
      </c>
    </row>
    <row r="92" spans="1:19">
      <c r="A92" s="1" t="s">
        <v>111</v>
      </c>
      <c r="B92" t="s">
        <v>22</v>
      </c>
      <c r="C92" t="s">
        <v>22</v>
      </c>
      <c r="D92" t="s">
        <v>22</v>
      </c>
      <c r="E92" t="s">
        <v>22</v>
      </c>
      <c r="F92" t="s">
        <v>20</v>
      </c>
      <c r="G92" s="1" t="s">
        <v>22</v>
      </c>
      <c r="H92" t="s">
        <v>22</v>
      </c>
      <c r="I92" t="s">
        <v>20</v>
      </c>
      <c r="J92" t="s">
        <v>20</v>
      </c>
      <c r="K92" t="s">
        <v>20</v>
      </c>
      <c r="L92" t="s">
        <v>20</v>
      </c>
      <c r="M92" s="1" t="s">
        <v>20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  <c r="S92" t="s">
        <v>20</v>
      </c>
    </row>
    <row r="93" spans="1:19">
      <c r="A93" s="1" t="s">
        <v>112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s="1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s="1" t="s">
        <v>20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  <c r="S93" t="s">
        <v>20</v>
      </c>
    </row>
    <row r="94" spans="1:19">
      <c r="A94" s="1" t="s">
        <v>113</v>
      </c>
      <c r="B94" t="s">
        <v>22</v>
      </c>
      <c r="C94" t="s">
        <v>20</v>
      </c>
      <c r="D94" t="s">
        <v>22</v>
      </c>
      <c r="E94" t="s">
        <v>22</v>
      </c>
      <c r="F94" t="s">
        <v>22</v>
      </c>
      <c r="G94" s="1" t="s">
        <v>22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s="1" t="s">
        <v>20</v>
      </c>
      <c r="N94" t="s">
        <v>22</v>
      </c>
      <c r="O94" t="s">
        <v>20</v>
      </c>
      <c r="P94" t="s">
        <v>20</v>
      </c>
      <c r="Q94" t="s">
        <v>20</v>
      </c>
      <c r="R94" t="s">
        <v>22</v>
      </c>
      <c r="S94" t="s">
        <v>20</v>
      </c>
    </row>
    <row r="95" spans="1:19">
      <c r="A95" s="1" t="s">
        <v>114</v>
      </c>
      <c r="B95" t="s">
        <v>22</v>
      </c>
      <c r="C95" t="s">
        <v>20</v>
      </c>
      <c r="D95" t="s">
        <v>22</v>
      </c>
      <c r="E95" t="s">
        <v>22</v>
      </c>
      <c r="F95" t="s">
        <v>22</v>
      </c>
      <c r="G95" s="1" t="s">
        <v>20</v>
      </c>
      <c r="H95" t="s">
        <v>20</v>
      </c>
      <c r="I95" t="s">
        <v>20</v>
      </c>
      <c r="J95" t="s">
        <v>20</v>
      </c>
      <c r="K95" t="s">
        <v>22</v>
      </c>
      <c r="L95" t="s">
        <v>20</v>
      </c>
      <c r="M95" s="1" t="s">
        <v>20</v>
      </c>
      <c r="N95" t="s">
        <v>20</v>
      </c>
      <c r="O95" t="s">
        <v>20</v>
      </c>
      <c r="P95" t="s">
        <v>20</v>
      </c>
      <c r="Q95" t="s">
        <v>20</v>
      </c>
      <c r="R95" t="s">
        <v>20</v>
      </c>
      <c r="S95" t="s">
        <v>20</v>
      </c>
    </row>
    <row r="96" spans="1:19">
      <c r="A96" s="1" t="s">
        <v>115</v>
      </c>
      <c r="B96" t="s">
        <v>22</v>
      </c>
      <c r="C96" t="s">
        <v>20</v>
      </c>
      <c r="D96" t="s">
        <v>20</v>
      </c>
      <c r="E96" t="s">
        <v>20</v>
      </c>
      <c r="F96" t="s">
        <v>20</v>
      </c>
      <c r="G96" s="1" t="s">
        <v>20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s="1" t="s">
        <v>22</v>
      </c>
      <c r="N96" t="s">
        <v>22</v>
      </c>
      <c r="O96" t="s">
        <v>20</v>
      </c>
      <c r="P96" t="s">
        <v>20</v>
      </c>
      <c r="Q96" t="s">
        <v>20</v>
      </c>
      <c r="R96" t="s">
        <v>22</v>
      </c>
      <c r="S96" t="s">
        <v>20</v>
      </c>
    </row>
    <row r="97" spans="1:19">
      <c r="A97" s="1" t="s">
        <v>116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s="1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s="1" t="s">
        <v>22</v>
      </c>
      <c r="N97" t="s">
        <v>20</v>
      </c>
      <c r="O97" t="s">
        <v>20</v>
      </c>
      <c r="P97" t="s">
        <v>20</v>
      </c>
      <c r="Q97" t="s">
        <v>20</v>
      </c>
      <c r="R97" t="s">
        <v>20</v>
      </c>
      <c r="S97" t="s">
        <v>20</v>
      </c>
    </row>
    <row r="98" spans="1:19">
      <c r="A98" s="1" t="s">
        <v>117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s="1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s="1" t="s">
        <v>20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  <c r="S98" t="s">
        <v>20</v>
      </c>
    </row>
    <row r="99" spans="1:19">
      <c r="A99" s="1" t="s">
        <v>118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s="1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s="1" t="s">
        <v>20</v>
      </c>
      <c r="N99" t="s">
        <v>20</v>
      </c>
      <c r="O99" t="s">
        <v>20</v>
      </c>
      <c r="P99" t="s">
        <v>20</v>
      </c>
      <c r="Q99" t="s">
        <v>20</v>
      </c>
      <c r="R99" t="s">
        <v>20</v>
      </c>
      <c r="S99" t="s">
        <v>20</v>
      </c>
    </row>
    <row r="100" spans="1:19">
      <c r="A100" s="1" t="s">
        <v>119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s="1" t="s">
        <v>20</v>
      </c>
      <c r="H100" t="s">
        <v>22</v>
      </c>
      <c r="I100" t="s">
        <v>20</v>
      </c>
      <c r="J100" t="s">
        <v>20</v>
      </c>
      <c r="K100" t="s">
        <v>20</v>
      </c>
      <c r="L100" t="s">
        <v>22</v>
      </c>
      <c r="M100" s="1" t="s">
        <v>20</v>
      </c>
      <c r="N100" t="s">
        <v>20</v>
      </c>
      <c r="O100" t="s">
        <v>20</v>
      </c>
      <c r="P100" t="s">
        <v>20</v>
      </c>
      <c r="Q100" t="s">
        <v>20</v>
      </c>
      <c r="R100" t="s">
        <v>20</v>
      </c>
      <c r="S100" t="s">
        <v>20</v>
      </c>
    </row>
    <row r="101" spans="1:19">
      <c r="A101" s="1" t="s">
        <v>120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s="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s="1" t="s">
        <v>20</v>
      </c>
      <c r="N101" t="s">
        <v>22</v>
      </c>
      <c r="O101" t="s">
        <v>22</v>
      </c>
      <c r="P101" t="s">
        <v>20</v>
      </c>
      <c r="Q101" t="s">
        <v>20</v>
      </c>
      <c r="R101" t="s">
        <v>20</v>
      </c>
      <c r="S101" t="s">
        <v>22</v>
      </c>
    </row>
    <row r="102" spans="1:19">
      <c r="A102" s="1" t="s">
        <v>121</v>
      </c>
      <c r="B102" t="s">
        <v>20</v>
      </c>
      <c r="C102" t="s">
        <v>22</v>
      </c>
      <c r="D102" t="s">
        <v>20</v>
      </c>
      <c r="E102" t="s">
        <v>20</v>
      </c>
      <c r="F102" t="s">
        <v>20</v>
      </c>
      <c r="G102" s="1" t="s">
        <v>20</v>
      </c>
      <c r="H102" t="s">
        <v>22</v>
      </c>
      <c r="I102" t="s">
        <v>20</v>
      </c>
      <c r="J102" t="s">
        <v>20</v>
      </c>
      <c r="K102" t="s">
        <v>20</v>
      </c>
      <c r="L102" t="s">
        <v>20</v>
      </c>
      <c r="M102" s="1" t="s">
        <v>22</v>
      </c>
      <c r="N102" t="s">
        <v>22</v>
      </c>
      <c r="O102" t="s">
        <v>20</v>
      </c>
      <c r="P102" t="s">
        <v>22</v>
      </c>
      <c r="Q102" t="s">
        <v>22</v>
      </c>
      <c r="R102" t="s">
        <v>20</v>
      </c>
      <c r="S102" t="s">
        <v>20</v>
      </c>
    </row>
    <row r="103" spans="1:19">
      <c r="A103" s="1" t="s">
        <v>122</v>
      </c>
      <c r="B103" t="s">
        <v>22</v>
      </c>
      <c r="C103" t="s">
        <v>20</v>
      </c>
      <c r="D103" t="s">
        <v>20</v>
      </c>
      <c r="E103" t="s">
        <v>20</v>
      </c>
      <c r="F103" t="s">
        <v>20</v>
      </c>
      <c r="G103" s="1" t="s">
        <v>22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s="1" t="s">
        <v>22</v>
      </c>
      <c r="N103" t="s">
        <v>20</v>
      </c>
      <c r="O103" t="s">
        <v>20</v>
      </c>
      <c r="P103" t="s">
        <v>20</v>
      </c>
      <c r="Q103" t="s">
        <v>20</v>
      </c>
      <c r="R103" t="s">
        <v>20</v>
      </c>
      <c r="S103" t="s">
        <v>20</v>
      </c>
    </row>
    <row r="104" spans="1:19">
      <c r="A104" s="1" t="s">
        <v>123</v>
      </c>
      <c r="B104" t="s">
        <v>22</v>
      </c>
      <c r="C104" t="s">
        <v>20</v>
      </c>
      <c r="D104" t="s">
        <v>22</v>
      </c>
      <c r="E104" t="s">
        <v>20</v>
      </c>
      <c r="F104" t="s">
        <v>20</v>
      </c>
      <c r="G104" s="1" t="s">
        <v>22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s="1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20</v>
      </c>
    </row>
    <row r="105" spans="1:19">
      <c r="A105" s="1" t="s">
        <v>124</v>
      </c>
      <c r="B105" t="s">
        <v>22</v>
      </c>
      <c r="C105" t="s">
        <v>22</v>
      </c>
      <c r="D105" t="s">
        <v>20</v>
      </c>
      <c r="E105" t="s">
        <v>20</v>
      </c>
      <c r="F105" t="s">
        <v>20</v>
      </c>
      <c r="G105" s="1" t="s">
        <v>20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s="1" t="s">
        <v>22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  <c r="S105" t="s">
        <v>20</v>
      </c>
    </row>
    <row r="106" spans="1:19">
      <c r="A106" s="1" t="s">
        <v>125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s="1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s="1" t="s">
        <v>20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  <c r="S106" t="s">
        <v>20</v>
      </c>
    </row>
    <row r="107" spans="1:19">
      <c r="A107" s="1" t="s">
        <v>126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s="1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s="1" t="s">
        <v>20</v>
      </c>
      <c r="N107" t="s">
        <v>20</v>
      </c>
      <c r="O107" t="s">
        <v>20</v>
      </c>
      <c r="P107" t="s">
        <v>20</v>
      </c>
      <c r="Q107" t="s">
        <v>20</v>
      </c>
      <c r="R107" t="s">
        <v>20</v>
      </c>
      <c r="S107" t="s">
        <v>20</v>
      </c>
    </row>
    <row r="108" spans="1:19">
      <c r="A108" s="1" t="s">
        <v>127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s="1" t="s">
        <v>20</v>
      </c>
      <c r="H108" t="s">
        <v>20</v>
      </c>
      <c r="I108" t="s">
        <v>22</v>
      </c>
      <c r="J108" t="s">
        <v>22</v>
      </c>
      <c r="K108" t="s">
        <v>22</v>
      </c>
      <c r="L108" t="s">
        <v>20</v>
      </c>
      <c r="M108" s="1" t="s">
        <v>22</v>
      </c>
      <c r="N108" t="s">
        <v>20</v>
      </c>
      <c r="O108" t="s">
        <v>20</v>
      </c>
      <c r="P108" t="s">
        <v>20</v>
      </c>
      <c r="Q108" t="s">
        <v>20</v>
      </c>
      <c r="R108" t="s">
        <v>22</v>
      </c>
      <c r="S108" t="s">
        <v>20</v>
      </c>
    </row>
    <row r="109" spans="1:19">
      <c r="A109" s="1" t="s">
        <v>128</v>
      </c>
      <c r="B109" t="s">
        <v>20</v>
      </c>
      <c r="C109" t="s">
        <v>20</v>
      </c>
      <c r="D109" t="s">
        <v>22</v>
      </c>
      <c r="E109" t="s">
        <v>20</v>
      </c>
      <c r="F109" t="s">
        <v>22</v>
      </c>
      <c r="G109" s="1" t="s">
        <v>20</v>
      </c>
      <c r="H109" t="s">
        <v>20</v>
      </c>
      <c r="I109" t="s">
        <v>22</v>
      </c>
      <c r="J109" t="s">
        <v>22</v>
      </c>
      <c r="K109" t="s">
        <v>22</v>
      </c>
      <c r="L109" t="s">
        <v>22</v>
      </c>
      <c r="M109" s="1" t="s">
        <v>22</v>
      </c>
      <c r="N109" t="s">
        <v>20</v>
      </c>
      <c r="O109" t="s">
        <v>20</v>
      </c>
      <c r="P109" t="s">
        <v>22</v>
      </c>
      <c r="Q109" t="s">
        <v>20</v>
      </c>
      <c r="R109" t="s">
        <v>22</v>
      </c>
      <c r="S109" t="s">
        <v>20</v>
      </c>
    </row>
    <row r="110" spans="1:19">
      <c r="A110" s="1" t="s">
        <v>129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s="1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s="1" t="s">
        <v>20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  <c r="S110" t="s">
        <v>20</v>
      </c>
    </row>
    <row r="111" spans="1:19">
      <c r="A111" s="1" t="s">
        <v>130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s="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s="1" t="s">
        <v>20</v>
      </c>
      <c r="N111" t="s">
        <v>22</v>
      </c>
      <c r="O111" t="s">
        <v>22</v>
      </c>
      <c r="P111" t="s">
        <v>22</v>
      </c>
      <c r="Q111" t="s">
        <v>22</v>
      </c>
      <c r="R111" t="s">
        <v>20</v>
      </c>
      <c r="S111" t="s">
        <v>20</v>
      </c>
    </row>
    <row r="112" spans="1:19">
      <c r="A112" s="1" t="s">
        <v>131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s="1" t="s">
        <v>20</v>
      </c>
      <c r="H112" t="s">
        <v>22</v>
      </c>
      <c r="I112" t="s">
        <v>20</v>
      </c>
      <c r="J112" t="s">
        <v>20</v>
      </c>
      <c r="K112" t="s">
        <v>22</v>
      </c>
      <c r="L112" t="s">
        <v>22</v>
      </c>
      <c r="M112" s="1" t="s">
        <v>22</v>
      </c>
      <c r="N112" t="s">
        <v>22</v>
      </c>
      <c r="O112" t="s">
        <v>22</v>
      </c>
      <c r="P112" t="s">
        <v>20</v>
      </c>
      <c r="Q112" t="s">
        <v>22</v>
      </c>
      <c r="R112" t="s">
        <v>22</v>
      </c>
      <c r="S112" t="s">
        <v>20</v>
      </c>
    </row>
    <row r="113" spans="1:19">
      <c r="A113" s="1" t="s">
        <v>132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s="1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s="1" t="s">
        <v>22</v>
      </c>
      <c r="N113" t="s">
        <v>22</v>
      </c>
      <c r="O113" t="s">
        <v>20</v>
      </c>
      <c r="P113" t="s">
        <v>20</v>
      </c>
      <c r="Q113" t="s">
        <v>20</v>
      </c>
      <c r="R113" t="s">
        <v>22</v>
      </c>
      <c r="S113" t="s">
        <v>20</v>
      </c>
    </row>
    <row r="114" spans="1:19">
      <c r="A114" s="1" t="s">
        <v>133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s="1" t="s">
        <v>20</v>
      </c>
      <c r="H114" t="s">
        <v>22</v>
      </c>
      <c r="I114" t="s">
        <v>20</v>
      </c>
      <c r="J114" t="s">
        <v>20</v>
      </c>
      <c r="K114" t="s">
        <v>20</v>
      </c>
      <c r="L114" t="s">
        <v>22</v>
      </c>
      <c r="M114" s="1" t="s">
        <v>20</v>
      </c>
      <c r="N114" t="s">
        <v>22</v>
      </c>
      <c r="O114" t="s">
        <v>20</v>
      </c>
      <c r="P114" t="s">
        <v>20</v>
      </c>
      <c r="Q114" t="s">
        <v>20</v>
      </c>
      <c r="R114" t="s">
        <v>22</v>
      </c>
      <c r="S114" t="s">
        <v>20</v>
      </c>
    </row>
    <row r="115" spans="1:19">
      <c r="A115" s="1" t="s">
        <v>134</v>
      </c>
      <c r="B115" t="s">
        <v>22</v>
      </c>
      <c r="C115" t="s">
        <v>20</v>
      </c>
      <c r="D115" t="s">
        <v>20</v>
      </c>
      <c r="E115" t="s">
        <v>20</v>
      </c>
      <c r="F115" t="s">
        <v>22</v>
      </c>
      <c r="G115" s="1" t="s">
        <v>20</v>
      </c>
      <c r="H115" t="s">
        <v>22</v>
      </c>
      <c r="I115" t="s">
        <v>20</v>
      </c>
      <c r="J115" t="s">
        <v>20</v>
      </c>
      <c r="K115" t="s">
        <v>20</v>
      </c>
      <c r="L115" t="s">
        <v>20</v>
      </c>
      <c r="M115" s="1" t="s">
        <v>20</v>
      </c>
      <c r="N115" t="s">
        <v>22</v>
      </c>
      <c r="O115" t="s">
        <v>20</v>
      </c>
      <c r="P115" t="s">
        <v>20</v>
      </c>
      <c r="Q115" t="s">
        <v>20</v>
      </c>
      <c r="R115" t="s">
        <v>22</v>
      </c>
      <c r="S115" t="s">
        <v>20</v>
      </c>
    </row>
    <row r="116" spans="1:19">
      <c r="A116" s="1" t="s">
        <v>135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s="1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s="1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  <c r="S116" t="s">
        <v>20</v>
      </c>
    </row>
    <row r="117" spans="1:19">
      <c r="A117" s="1" t="s">
        <v>136</v>
      </c>
      <c r="B117" t="s">
        <v>22</v>
      </c>
      <c r="C117" t="s">
        <v>20</v>
      </c>
      <c r="D117" t="s">
        <v>20</v>
      </c>
      <c r="E117" t="s">
        <v>20</v>
      </c>
      <c r="F117" t="s">
        <v>22</v>
      </c>
      <c r="G117" s="1" t="s">
        <v>22</v>
      </c>
      <c r="H117" t="s">
        <v>20</v>
      </c>
      <c r="I117" t="s">
        <v>20</v>
      </c>
      <c r="J117" t="s">
        <v>20</v>
      </c>
      <c r="K117" t="s">
        <v>22</v>
      </c>
      <c r="L117" t="s">
        <v>22</v>
      </c>
      <c r="M117" s="1" t="s">
        <v>20</v>
      </c>
      <c r="N117" t="s">
        <v>20</v>
      </c>
      <c r="O117" t="s">
        <v>22</v>
      </c>
      <c r="P117" t="s">
        <v>20</v>
      </c>
      <c r="Q117" t="s">
        <v>20</v>
      </c>
      <c r="R117" t="s">
        <v>20</v>
      </c>
      <c r="S117" t="s">
        <v>22</v>
      </c>
    </row>
    <row r="118" spans="1:19">
      <c r="A118" s="1" t="s">
        <v>137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s="1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s="1" t="s">
        <v>20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  <c r="S118" t="s">
        <v>20</v>
      </c>
    </row>
    <row r="119" spans="1:19">
      <c r="A119" s="1" t="s">
        <v>138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s="1" t="s">
        <v>20</v>
      </c>
      <c r="H119" t="s">
        <v>20</v>
      </c>
      <c r="I119" t="s">
        <v>22</v>
      </c>
      <c r="J119" t="s">
        <v>20</v>
      </c>
      <c r="K119" t="s">
        <v>20</v>
      </c>
      <c r="L119" t="s">
        <v>20</v>
      </c>
      <c r="M119" s="1" t="s">
        <v>20</v>
      </c>
      <c r="N119" t="s">
        <v>22</v>
      </c>
      <c r="O119" t="s">
        <v>20</v>
      </c>
      <c r="P119" t="s">
        <v>20</v>
      </c>
      <c r="Q119" t="s">
        <v>20</v>
      </c>
      <c r="R119" t="s">
        <v>20</v>
      </c>
      <c r="S119" t="s">
        <v>20</v>
      </c>
    </row>
    <row r="120" spans="1:19">
      <c r="A120" s="1" t="s">
        <v>139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s="1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s="1" t="s">
        <v>20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</row>
    <row r="121" spans="1:19" s="3" customFormat="1">
      <c r="A121" s="2" t="s">
        <v>140</v>
      </c>
      <c r="B121" s="3" t="s">
        <v>20</v>
      </c>
      <c r="C121" s="3" t="s">
        <v>20</v>
      </c>
      <c r="D121" s="3" t="s">
        <v>22</v>
      </c>
      <c r="E121" s="3" t="s">
        <v>20</v>
      </c>
      <c r="F121" s="3" t="s">
        <v>20</v>
      </c>
      <c r="G121" s="2" t="s">
        <v>20</v>
      </c>
      <c r="H121" s="3" t="s">
        <v>22</v>
      </c>
      <c r="I121" s="3" t="s">
        <v>22</v>
      </c>
      <c r="J121" s="3" t="s">
        <v>22</v>
      </c>
      <c r="K121" s="3" t="s">
        <v>22</v>
      </c>
      <c r="L121" s="3" t="s">
        <v>22</v>
      </c>
      <c r="M121" s="2" t="s">
        <v>22</v>
      </c>
      <c r="N121" s="3" t="s">
        <v>22</v>
      </c>
      <c r="O121" s="3" t="s">
        <v>22</v>
      </c>
      <c r="P121" s="3" t="s">
        <v>22</v>
      </c>
      <c r="Q121" s="3" t="s">
        <v>22</v>
      </c>
      <c r="R121" s="3" t="s">
        <v>20</v>
      </c>
      <c r="S121" s="3" t="s">
        <v>22</v>
      </c>
    </row>
    <row r="122" spans="1:19">
      <c r="A122" s="1" t="s">
        <v>141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s="1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s="1" t="s">
        <v>20</v>
      </c>
      <c r="N122" t="s">
        <v>20</v>
      </c>
      <c r="O122" t="s">
        <v>20</v>
      </c>
      <c r="P122" t="s">
        <v>20</v>
      </c>
      <c r="Q122" t="s">
        <v>20</v>
      </c>
      <c r="R122" t="s">
        <v>20</v>
      </c>
      <c r="S122" t="s">
        <v>20</v>
      </c>
    </row>
    <row r="123" spans="1:19">
      <c r="A123" s="1" t="s">
        <v>142</v>
      </c>
      <c r="B123" t="s">
        <v>20</v>
      </c>
      <c r="C123" t="s">
        <v>20</v>
      </c>
      <c r="D123" t="s">
        <v>20</v>
      </c>
      <c r="E123" t="s">
        <v>20</v>
      </c>
      <c r="F123" t="s">
        <v>22</v>
      </c>
      <c r="G123" s="1" t="s">
        <v>22</v>
      </c>
      <c r="H123" t="s">
        <v>22</v>
      </c>
      <c r="I123" t="s">
        <v>20</v>
      </c>
      <c r="J123" t="s">
        <v>20</v>
      </c>
      <c r="K123" t="s">
        <v>22</v>
      </c>
      <c r="L123" t="s">
        <v>22</v>
      </c>
      <c r="M123" s="1" t="s">
        <v>20</v>
      </c>
      <c r="N123" t="s">
        <v>20</v>
      </c>
      <c r="O123" t="s">
        <v>20</v>
      </c>
      <c r="P123" t="s">
        <v>20</v>
      </c>
      <c r="Q123" t="s">
        <v>20</v>
      </c>
      <c r="R123" t="s">
        <v>20</v>
      </c>
      <c r="S123" t="s">
        <v>20</v>
      </c>
    </row>
    <row r="124" spans="1:19">
      <c r="A124" s="1" t="s">
        <v>143</v>
      </c>
      <c r="B124" t="s">
        <v>22</v>
      </c>
      <c r="C124" t="s">
        <v>22</v>
      </c>
      <c r="D124" t="s">
        <v>20</v>
      </c>
      <c r="E124" t="s">
        <v>22</v>
      </c>
      <c r="F124" t="s">
        <v>20</v>
      </c>
      <c r="G124" s="1" t="s">
        <v>22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s="1" t="s">
        <v>20</v>
      </c>
      <c r="N124" t="s">
        <v>20</v>
      </c>
      <c r="O124" t="s">
        <v>20</v>
      </c>
      <c r="P124" t="s">
        <v>20</v>
      </c>
      <c r="Q124" t="s">
        <v>20</v>
      </c>
      <c r="R124" t="s">
        <v>20</v>
      </c>
      <c r="S124" t="s">
        <v>20</v>
      </c>
    </row>
    <row r="125" spans="1:19">
      <c r="A125" s="1" t="s">
        <v>144</v>
      </c>
      <c r="B125" t="s">
        <v>20</v>
      </c>
      <c r="C125" t="s">
        <v>22</v>
      </c>
      <c r="D125" t="s">
        <v>20</v>
      </c>
      <c r="E125" t="s">
        <v>22</v>
      </c>
      <c r="F125" t="s">
        <v>20</v>
      </c>
      <c r="G125" s="1" t="s">
        <v>22</v>
      </c>
      <c r="H125" t="s">
        <v>22</v>
      </c>
      <c r="I125" t="s">
        <v>20</v>
      </c>
      <c r="J125" t="s">
        <v>20</v>
      </c>
      <c r="K125" t="s">
        <v>20</v>
      </c>
      <c r="L125" t="s">
        <v>20</v>
      </c>
      <c r="M125" s="1" t="s">
        <v>20</v>
      </c>
      <c r="N125" t="s">
        <v>20</v>
      </c>
      <c r="O125" t="s">
        <v>20</v>
      </c>
      <c r="P125" t="s">
        <v>22</v>
      </c>
      <c r="Q125" t="s">
        <v>20</v>
      </c>
      <c r="R125" t="s">
        <v>20</v>
      </c>
      <c r="S125" t="s">
        <v>20</v>
      </c>
    </row>
    <row r="126" spans="1:19">
      <c r="A126" s="1" t="s">
        <v>145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s="1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s="1" t="s">
        <v>20</v>
      </c>
      <c r="N126" t="s">
        <v>20</v>
      </c>
      <c r="O126" t="s">
        <v>20</v>
      </c>
      <c r="P126" t="s">
        <v>20</v>
      </c>
      <c r="Q126" t="s">
        <v>20</v>
      </c>
      <c r="R126" t="s">
        <v>20</v>
      </c>
      <c r="S126" t="s">
        <v>20</v>
      </c>
    </row>
    <row r="127" spans="1:19">
      <c r="A127" s="1" t="s">
        <v>146</v>
      </c>
      <c r="B127" t="s">
        <v>20</v>
      </c>
      <c r="C127" t="s">
        <v>22</v>
      </c>
      <c r="D127" t="s">
        <v>22</v>
      </c>
      <c r="E127" t="s">
        <v>22</v>
      </c>
      <c r="F127" t="s">
        <v>22</v>
      </c>
      <c r="G127" s="1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s="1" t="s">
        <v>20</v>
      </c>
      <c r="N127" t="s">
        <v>20</v>
      </c>
      <c r="O127" t="s">
        <v>20</v>
      </c>
      <c r="P127" t="s">
        <v>20</v>
      </c>
      <c r="Q127" t="s">
        <v>20</v>
      </c>
      <c r="R127" t="s">
        <v>20</v>
      </c>
      <c r="S127" t="s">
        <v>20</v>
      </c>
    </row>
    <row r="128" spans="1:19">
      <c r="A128" s="1" t="s">
        <v>147</v>
      </c>
      <c r="B128" t="s">
        <v>20</v>
      </c>
      <c r="C128" t="s">
        <v>22</v>
      </c>
      <c r="D128" t="s">
        <v>22</v>
      </c>
      <c r="E128" t="s">
        <v>22</v>
      </c>
      <c r="F128" t="s">
        <v>22</v>
      </c>
      <c r="G128" s="1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20</v>
      </c>
      <c r="M128" s="1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</row>
    <row r="129" spans="1:19">
      <c r="A129" s="1" t="s">
        <v>148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s="1" t="s">
        <v>22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s="1" t="s">
        <v>20</v>
      </c>
      <c r="N129" t="s">
        <v>20</v>
      </c>
      <c r="O129" t="s">
        <v>22</v>
      </c>
      <c r="P129" t="s">
        <v>20</v>
      </c>
      <c r="Q129" t="s">
        <v>20</v>
      </c>
      <c r="R129" t="s">
        <v>22</v>
      </c>
      <c r="S129" t="s">
        <v>20</v>
      </c>
    </row>
    <row r="130" spans="1:19">
      <c r="A130" s="1" t="s">
        <v>149</v>
      </c>
      <c r="B130" t="s">
        <v>22</v>
      </c>
      <c r="C130" t="s">
        <v>22</v>
      </c>
      <c r="D130" t="s">
        <v>22</v>
      </c>
      <c r="E130" t="s">
        <v>22</v>
      </c>
      <c r="F130" t="s">
        <v>22</v>
      </c>
      <c r="G130" s="1" t="s">
        <v>22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s="1" t="s">
        <v>20</v>
      </c>
      <c r="N130" t="s">
        <v>22</v>
      </c>
      <c r="O130" t="s">
        <v>20</v>
      </c>
      <c r="P130" t="s">
        <v>22</v>
      </c>
      <c r="Q130" t="s">
        <v>22</v>
      </c>
      <c r="R130" t="s">
        <v>22</v>
      </c>
      <c r="S130" t="s">
        <v>22</v>
      </c>
    </row>
    <row r="131" spans="1:19">
      <c r="A131" s="1" t="s">
        <v>150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s="1" t="s">
        <v>22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s="1" t="s">
        <v>20</v>
      </c>
      <c r="N131" t="s">
        <v>20</v>
      </c>
      <c r="O131" t="s">
        <v>20</v>
      </c>
      <c r="P131" t="s">
        <v>20</v>
      </c>
      <c r="Q131" t="s">
        <v>20</v>
      </c>
      <c r="R131" t="s">
        <v>20</v>
      </c>
      <c r="S131" t="s">
        <v>20</v>
      </c>
    </row>
    <row r="132" spans="1:19">
      <c r="A132" s="1" t="s">
        <v>151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s="1" t="s">
        <v>22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s="1" t="s">
        <v>20</v>
      </c>
      <c r="N132" t="s">
        <v>20</v>
      </c>
      <c r="O132" t="s">
        <v>20</v>
      </c>
      <c r="P132" t="s">
        <v>20</v>
      </c>
      <c r="Q132" t="s">
        <v>20</v>
      </c>
      <c r="R132" t="s">
        <v>20</v>
      </c>
      <c r="S132" t="s">
        <v>20</v>
      </c>
    </row>
    <row r="133" spans="1:19">
      <c r="A133" s="1" t="s">
        <v>152</v>
      </c>
      <c r="B133" t="s">
        <v>22</v>
      </c>
      <c r="C133" t="s">
        <v>22</v>
      </c>
      <c r="D133" t="s">
        <v>22</v>
      </c>
      <c r="E133" t="s">
        <v>22</v>
      </c>
      <c r="F133" t="s">
        <v>22</v>
      </c>
      <c r="G133" s="1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s="1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</row>
    <row r="134" spans="1:19">
      <c r="A134" s="1" t="s">
        <v>153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s="1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s="1" t="s">
        <v>20</v>
      </c>
      <c r="N134" t="s">
        <v>20</v>
      </c>
      <c r="O134" t="s">
        <v>20</v>
      </c>
      <c r="P134" t="s">
        <v>20</v>
      </c>
      <c r="Q134" t="s">
        <v>20</v>
      </c>
      <c r="R134" t="s">
        <v>20</v>
      </c>
      <c r="S134" t="s">
        <v>20</v>
      </c>
    </row>
    <row r="135" spans="1:19">
      <c r="A135" s="1" t="s">
        <v>154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s="1" t="s">
        <v>20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s="1" t="s">
        <v>22</v>
      </c>
      <c r="N135" t="s">
        <v>20</v>
      </c>
      <c r="O135" t="s">
        <v>20</v>
      </c>
      <c r="P135" t="s">
        <v>20</v>
      </c>
      <c r="Q135" t="s">
        <v>20</v>
      </c>
      <c r="R135" t="s">
        <v>20</v>
      </c>
      <c r="S135" t="s">
        <v>20</v>
      </c>
    </row>
    <row r="136" spans="1:19">
      <c r="A136" s="1" t="s">
        <v>155</v>
      </c>
      <c r="B136" t="s">
        <v>22</v>
      </c>
      <c r="C136" t="s">
        <v>22</v>
      </c>
      <c r="D136" t="s">
        <v>22</v>
      </c>
      <c r="E136" t="s">
        <v>22</v>
      </c>
      <c r="F136" t="s">
        <v>20</v>
      </c>
      <c r="G136" s="1" t="s">
        <v>22</v>
      </c>
      <c r="H136" t="s">
        <v>22</v>
      </c>
      <c r="I136" t="s">
        <v>20</v>
      </c>
      <c r="J136" t="s">
        <v>20</v>
      </c>
      <c r="K136" t="s">
        <v>20</v>
      </c>
      <c r="L136" t="s">
        <v>20</v>
      </c>
      <c r="M136" s="1" t="s">
        <v>20</v>
      </c>
      <c r="N136" t="s">
        <v>22</v>
      </c>
      <c r="O136" t="s">
        <v>20</v>
      </c>
      <c r="P136" t="s">
        <v>22</v>
      </c>
      <c r="Q136" t="s">
        <v>22</v>
      </c>
      <c r="R136" t="s">
        <v>22</v>
      </c>
      <c r="S136" t="s">
        <v>22</v>
      </c>
    </row>
    <row r="137" spans="1:19">
      <c r="A137" s="1" t="s">
        <v>156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s="1" t="s">
        <v>20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s="1" t="s">
        <v>22</v>
      </c>
      <c r="N137" t="s">
        <v>20</v>
      </c>
      <c r="O137" t="s">
        <v>20</v>
      </c>
      <c r="P137" t="s">
        <v>20</v>
      </c>
      <c r="Q137" t="s">
        <v>20</v>
      </c>
      <c r="R137" t="s">
        <v>20</v>
      </c>
      <c r="S137" t="s">
        <v>20</v>
      </c>
    </row>
    <row r="138" spans="1:19">
      <c r="A138" s="1" t="s">
        <v>157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s="1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s="1" t="s">
        <v>20</v>
      </c>
      <c r="N138" t="s">
        <v>20</v>
      </c>
      <c r="O138" t="s">
        <v>20</v>
      </c>
      <c r="P138" t="s">
        <v>20</v>
      </c>
      <c r="Q138" t="s">
        <v>20</v>
      </c>
      <c r="R138" t="s">
        <v>20</v>
      </c>
      <c r="S138" t="s">
        <v>20</v>
      </c>
    </row>
    <row r="139" spans="1:19">
      <c r="A139" s="1" t="s">
        <v>158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s="1" t="s">
        <v>20</v>
      </c>
      <c r="H139" t="s">
        <v>20</v>
      </c>
      <c r="I139" t="s">
        <v>22</v>
      </c>
      <c r="J139" t="s">
        <v>20</v>
      </c>
      <c r="K139" t="s">
        <v>20</v>
      </c>
      <c r="L139" t="s">
        <v>20</v>
      </c>
      <c r="M139" s="1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</row>
    <row r="140" spans="1:19">
      <c r="A140" s="1" t="s">
        <v>159</v>
      </c>
      <c r="B140" t="s">
        <v>20</v>
      </c>
      <c r="C140" t="s">
        <v>22</v>
      </c>
      <c r="D140" t="s">
        <v>22</v>
      </c>
      <c r="E140" t="s">
        <v>20</v>
      </c>
      <c r="F140" t="s">
        <v>20</v>
      </c>
      <c r="G140" s="1" t="s">
        <v>20</v>
      </c>
      <c r="H140" t="s">
        <v>20</v>
      </c>
      <c r="I140" t="s">
        <v>20</v>
      </c>
      <c r="J140" t="s">
        <v>22</v>
      </c>
      <c r="K140" t="s">
        <v>22</v>
      </c>
      <c r="L140" t="s">
        <v>22</v>
      </c>
      <c r="M140" s="1" t="s">
        <v>22</v>
      </c>
      <c r="N140" t="s">
        <v>20</v>
      </c>
      <c r="O140" t="s">
        <v>20</v>
      </c>
      <c r="P140" t="s">
        <v>22</v>
      </c>
      <c r="Q140" t="s">
        <v>20</v>
      </c>
      <c r="R140" t="s">
        <v>20</v>
      </c>
      <c r="S140" t="s">
        <v>20</v>
      </c>
    </row>
    <row r="141" spans="1:19">
      <c r="A141" s="1" t="s">
        <v>160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s="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s="1" t="s">
        <v>20</v>
      </c>
      <c r="N141" t="s">
        <v>20</v>
      </c>
      <c r="O141" t="s">
        <v>20</v>
      </c>
      <c r="P141" t="s">
        <v>20</v>
      </c>
      <c r="Q141" t="s">
        <v>20</v>
      </c>
      <c r="R141" t="s">
        <v>20</v>
      </c>
      <c r="S141" t="s">
        <v>20</v>
      </c>
    </row>
    <row r="142" spans="1:19">
      <c r="A142" s="1" t="s">
        <v>161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s="1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s="1" t="s">
        <v>20</v>
      </c>
      <c r="N142" t="s">
        <v>20</v>
      </c>
      <c r="O142" t="s">
        <v>20</v>
      </c>
      <c r="P142" t="s">
        <v>20</v>
      </c>
      <c r="Q142" t="s">
        <v>20</v>
      </c>
      <c r="R142" t="s">
        <v>20</v>
      </c>
      <c r="S142" t="s">
        <v>20</v>
      </c>
    </row>
    <row r="143" spans="1:19">
      <c r="A143" s="1" t="s">
        <v>162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s="1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s="1" t="s">
        <v>20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  <c r="S143" t="s">
        <v>20</v>
      </c>
    </row>
    <row r="144" spans="1:19">
      <c r="A144" s="1" t="s">
        <v>163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s="1" t="s">
        <v>20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s="1" t="s">
        <v>22</v>
      </c>
      <c r="N144" t="s">
        <v>20</v>
      </c>
      <c r="O144" t="s">
        <v>20</v>
      </c>
      <c r="P144" t="s">
        <v>20</v>
      </c>
      <c r="Q144" t="s">
        <v>20</v>
      </c>
      <c r="R144" t="s">
        <v>20</v>
      </c>
      <c r="S144" t="s">
        <v>20</v>
      </c>
    </row>
    <row r="145" spans="1:19">
      <c r="A145" s="1" t="s">
        <v>164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s="1" t="s">
        <v>20</v>
      </c>
      <c r="H145" t="s">
        <v>22</v>
      </c>
      <c r="I145" t="s">
        <v>20</v>
      </c>
      <c r="J145" t="s">
        <v>22</v>
      </c>
      <c r="K145" t="s">
        <v>22</v>
      </c>
      <c r="L145" t="s">
        <v>22</v>
      </c>
      <c r="M145" s="1" t="s">
        <v>22</v>
      </c>
      <c r="N145" t="s">
        <v>22</v>
      </c>
      <c r="O145" t="s">
        <v>20</v>
      </c>
      <c r="P145" t="s">
        <v>22</v>
      </c>
      <c r="Q145" t="s">
        <v>22</v>
      </c>
      <c r="R145" t="s">
        <v>22</v>
      </c>
      <c r="S145" t="s">
        <v>22</v>
      </c>
    </row>
    <row r="146" spans="1:19">
      <c r="A146" s="1" t="s">
        <v>165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s="1" t="s">
        <v>20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s="1" t="s">
        <v>22</v>
      </c>
      <c r="N146" t="s">
        <v>20</v>
      </c>
      <c r="O146" t="s">
        <v>22</v>
      </c>
      <c r="P146" t="s">
        <v>20</v>
      </c>
      <c r="Q146" t="s">
        <v>20</v>
      </c>
      <c r="R146" t="s">
        <v>20</v>
      </c>
      <c r="S146" t="s">
        <v>20</v>
      </c>
    </row>
    <row r="147" spans="1:19">
      <c r="A147" s="1" t="s">
        <v>166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s="1" t="s">
        <v>20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s="1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</row>
    <row r="148" spans="1:19">
      <c r="A148" s="1" t="s">
        <v>167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s="1" t="s">
        <v>20</v>
      </c>
      <c r="H148" t="s">
        <v>22</v>
      </c>
      <c r="I148" t="s">
        <v>22</v>
      </c>
      <c r="J148" t="s">
        <v>22</v>
      </c>
      <c r="K148" t="s">
        <v>20</v>
      </c>
      <c r="L148" t="s">
        <v>22</v>
      </c>
      <c r="M148" s="1" t="s">
        <v>20</v>
      </c>
      <c r="N148" t="s">
        <v>20</v>
      </c>
      <c r="O148" t="s">
        <v>20</v>
      </c>
      <c r="P148" t="s">
        <v>20</v>
      </c>
      <c r="Q148" t="s">
        <v>20</v>
      </c>
      <c r="R148" t="s">
        <v>20</v>
      </c>
      <c r="S148" t="s">
        <v>20</v>
      </c>
    </row>
    <row r="149" spans="1:19">
      <c r="A149" s="1" t="s">
        <v>168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s="1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s="1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</row>
    <row r="150" spans="1:19">
      <c r="A150" s="1" t="s">
        <v>169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s="1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s="1" t="s">
        <v>20</v>
      </c>
      <c r="N150" t="s">
        <v>20</v>
      </c>
      <c r="O150" t="s">
        <v>20</v>
      </c>
      <c r="P150" t="s">
        <v>20</v>
      </c>
      <c r="Q150" t="s">
        <v>20</v>
      </c>
      <c r="R150" t="s">
        <v>20</v>
      </c>
      <c r="S150" t="s">
        <v>20</v>
      </c>
    </row>
    <row r="151" spans="1:19" s="3" customFormat="1">
      <c r="A151" s="2" t="s">
        <v>170</v>
      </c>
      <c r="B151" s="3" t="s">
        <v>22</v>
      </c>
      <c r="C151" s="3" t="s">
        <v>22</v>
      </c>
      <c r="D151" s="3" t="s">
        <v>22</v>
      </c>
      <c r="E151" s="3" t="s">
        <v>20</v>
      </c>
      <c r="F151" s="3" t="s">
        <v>20</v>
      </c>
      <c r="G151" s="2" t="s">
        <v>20</v>
      </c>
      <c r="H151" s="3" t="s">
        <v>22</v>
      </c>
      <c r="I151" s="3" t="s">
        <v>22</v>
      </c>
      <c r="J151" s="3" t="s">
        <v>22</v>
      </c>
      <c r="K151" s="3" t="s">
        <v>22</v>
      </c>
      <c r="L151" s="3" t="s">
        <v>22</v>
      </c>
      <c r="M151" s="2" t="s">
        <v>22</v>
      </c>
      <c r="N151" s="3" t="s">
        <v>20</v>
      </c>
      <c r="O151" s="3" t="s">
        <v>20</v>
      </c>
      <c r="P151" s="3" t="s">
        <v>20</v>
      </c>
      <c r="Q151" s="3" t="s">
        <v>20</v>
      </c>
      <c r="R151" s="3" t="s">
        <v>20</v>
      </c>
      <c r="S151" s="3" t="s">
        <v>20</v>
      </c>
    </row>
    <row r="152" spans="1:19">
      <c r="A152" s="1" t="s">
        <v>171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s="1" t="s">
        <v>20</v>
      </c>
      <c r="H152" t="s">
        <v>20</v>
      </c>
      <c r="I152" t="s">
        <v>20</v>
      </c>
      <c r="J152" t="s">
        <v>20</v>
      </c>
      <c r="K152" t="s">
        <v>22</v>
      </c>
      <c r="L152" t="s">
        <v>20</v>
      </c>
      <c r="M152" s="1" t="s">
        <v>20</v>
      </c>
      <c r="N152" t="s">
        <v>20</v>
      </c>
      <c r="O152" t="s">
        <v>20</v>
      </c>
      <c r="P152" t="s">
        <v>20</v>
      </c>
      <c r="Q152" t="s">
        <v>20</v>
      </c>
      <c r="R152" t="s">
        <v>20</v>
      </c>
      <c r="S152" t="s">
        <v>20</v>
      </c>
    </row>
    <row r="153" spans="1:19">
      <c r="A153" s="1" t="s">
        <v>172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s="1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s="1" t="s">
        <v>20</v>
      </c>
      <c r="N153" t="s">
        <v>20</v>
      </c>
      <c r="O153" t="s">
        <v>20</v>
      </c>
      <c r="P153" t="s">
        <v>20</v>
      </c>
      <c r="Q153" t="s">
        <v>20</v>
      </c>
      <c r="R153" t="s">
        <v>20</v>
      </c>
      <c r="S153" t="s">
        <v>20</v>
      </c>
    </row>
    <row r="154" spans="1:19">
      <c r="A154" s="1" t="s">
        <v>173</v>
      </c>
      <c r="B154" t="s">
        <v>22</v>
      </c>
      <c r="C154" t="s">
        <v>22</v>
      </c>
      <c r="D154" t="s">
        <v>22</v>
      </c>
      <c r="E154" t="s">
        <v>22</v>
      </c>
      <c r="F154" t="s">
        <v>22</v>
      </c>
      <c r="G154" s="1" t="s">
        <v>22</v>
      </c>
      <c r="H154" t="s">
        <v>22</v>
      </c>
      <c r="I154" t="s">
        <v>20</v>
      </c>
      <c r="J154" t="s">
        <v>20</v>
      </c>
      <c r="K154" t="s">
        <v>20</v>
      </c>
      <c r="L154" t="s">
        <v>20</v>
      </c>
      <c r="M154" s="1" t="s">
        <v>22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  <c r="S154" t="s">
        <v>20</v>
      </c>
    </row>
    <row r="155" spans="1:19">
      <c r="A155" s="1" t="s">
        <v>174</v>
      </c>
      <c r="B155" t="s">
        <v>22</v>
      </c>
      <c r="C155" t="s">
        <v>20</v>
      </c>
      <c r="D155" t="s">
        <v>22</v>
      </c>
      <c r="E155" t="s">
        <v>20</v>
      </c>
      <c r="F155" t="s">
        <v>22</v>
      </c>
      <c r="G155" s="1" t="s">
        <v>22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s="1" t="s">
        <v>20</v>
      </c>
      <c r="N155" t="s">
        <v>20</v>
      </c>
      <c r="O155" t="s">
        <v>20</v>
      </c>
      <c r="P155" t="s">
        <v>20</v>
      </c>
      <c r="Q155" t="s">
        <v>20</v>
      </c>
      <c r="R155" t="s">
        <v>20</v>
      </c>
      <c r="S155" t="s">
        <v>20</v>
      </c>
    </row>
    <row r="156" spans="1:19">
      <c r="A156" s="1" t="s">
        <v>175</v>
      </c>
      <c r="B156" t="s">
        <v>22</v>
      </c>
      <c r="C156" t="s">
        <v>22</v>
      </c>
      <c r="D156" t="s">
        <v>22</v>
      </c>
      <c r="E156" t="s">
        <v>20</v>
      </c>
      <c r="F156" t="s">
        <v>22</v>
      </c>
      <c r="G156" s="1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s="1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</row>
    <row r="157" spans="1:19">
      <c r="A157" s="1" t="s">
        <v>176</v>
      </c>
      <c r="B157" t="s">
        <v>20</v>
      </c>
      <c r="C157" t="s">
        <v>20</v>
      </c>
      <c r="D157" t="s">
        <v>22</v>
      </c>
      <c r="E157" t="s">
        <v>20</v>
      </c>
      <c r="F157" t="s">
        <v>20</v>
      </c>
      <c r="G157" s="1" t="s">
        <v>22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s="1" t="s">
        <v>20</v>
      </c>
      <c r="N157" t="s">
        <v>20</v>
      </c>
      <c r="O157" t="s">
        <v>20</v>
      </c>
      <c r="P157" t="s">
        <v>20</v>
      </c>
      <c r="Q157" t="s">
        <v>20</v>
      </c>
      <c r="R157" t="s">
        <v>20</v>
      </c>
      <c r="S157" t="s">
        <v>20</v>
      </c>
    </row>
    <row r="158" spans="1:19">
      <c r="A158" s="1" t="s">
        <v>177</v>
      </c>
      <c r="B158" t="s">
        <v>20</v>
      </c>
      <c r="C158" t="s">
        <v>22</v>
      </c>
      <c r="D158" t="s">
        <v>22</v>
      </c>
      <c r="E158" t="s">
        <v>20</v>
      </c>
      <c r="F158" t="s">
        <v>22</v>
      </c>
      <c r="G158" s="1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s="1" t="s">
        <v>20</v>
      </c>
      <c r="N158" t="s">
        <v>20</v>
      </c>
      <c r="O158" t="s">
        <v>20</v>
      </c>
      <c r="P158" t="s">
        <v>20</v>
      </c>
      <c r="Q158" t="s">
        <v>20</v>
      </c>
      <c r="R158" t="s">
        <v>20</v>
      </c>
      <c r="S158" t="s">
        <v>20</v>
      </c>
    </row>
    <row r="159" spans="1:19">
      <c r="A159" s="1" t="s">
        <v>178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s="1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s="1" t="s">
        <v>20</v>
      </c>
      <c r="N159" t="s">
        <v>20</v>
      </c>
      <c r="O159" t="s">
        <v>20</v>
      </c>
      <c r="P159" t="s">
        <v>20</v>
      </c>
      <c r="Q159" t="s">
        <v>20</v>
      </c>
      <c r="R159" t="s">
        <v>20</v>
      </c>
      <c r="S159" t="s">
        <v>20</v>
      </c>
    </row>
    <row r="160" spans="1:19">
      <c r="A160" s="1" t="s">
        <v>179</v>
      </c>
      <c r="B160" t="s">
        <v>22</v>
      </c>
      <c r="C160" t="s">
        <v>22</v>
      </c>
      <c r="D160" t="s">
        <v>22</v>
      </c>
      <c r="E160" t="s">
        <v>22</v>
      </c>
      <c r="F160" t="s">
        <v>22</v>
      </c>
      <c r="G160" s="1" t="s">
        <v>22</v>
      </c>
      <c r="H160" t="s">
        <v>20</v>
      </c>
      <c r="I160" t="s">
        <v>22</v>
      </c>
      <c r="J160" t="s">
        <v>22</v>
      </c>
      <c r="K160" t="s">
        <v>22</v>
      </c>
      <c r="L160" t="s">
        <v>22</v>
      </c>
      <c r="M160" s="1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</row>
    <row r="161" spans="1:19">
      <c r="A161" s="1" t="s">
        <v>180</v>
      </c>
      <c r="B161" t="s">
        <v>20</v>
      </c>
      <c r="C161" t="s">
        <v>20</v>
      </c>
      <c r="D161" t="s">
        <v>22</v>
      </c>
      <c r="E161" t="s">
        <v>22</v>
      </c>
      <c r="F161" t="s">
        <v>22</v>
      </c>
      <c r="G161" s="1" t="s">
        <v>22</v>
      </c>
      <c r="H161" t="s">
        <v>20</v>
      </c>
      <c r="I161" t="s">
        <v>20</v>
      </c>
      <c r="J161" t="s">
        <v>20</v>
      </c>
      <c r="K161" t="s">
        <v>20</v>
      </c>
      <c r="L161" t="s">
        <v>22</v>
      </c>
      <c r="M161" s="1" t="s">
        <v>20</v>
      </c>
      <c r="N161" t="s">
        <v>20</v>
      </c>
      <c r="O161" t="s">
        <v>20</v>
      </c>
      <c r="P161" t="s">
        <v>20</v>
      </c>
      <c r="Q161" t="s">
        <v>20</v>
      </c>
      <c r="R161" t="s">
        <v>20</v>
      </c>
      <c r="S161" t="s">
        <v>20</v>
      </c>
    </row>
    <row r="162" spans="1:19">
      <c r="A162" s="1" t="s">
        <v>181</v>
      </c>
      <c r="B162" t="s">
        <v>22</v>
      </c>
      <c r="C162" t="s">
        <v>20</v>
      </c>
      <c r="D162" t="s">
        <v>22</v>
      </c>
      <c r="E162" t="s">
        <v>20</v>
      </c>
      <c r="F162" t="s">
        <v>22</v>
      </c>
      <c r="G162" s="1" t="s">
        <v>20</v>
      </c>
      <c r="H162" t="s">
        <v>22</v>
      </c>
      <c r="I162" t="s">
        <v>20</v>
      </c>
      <c r="J162" t="s">
        <v>20</v>
      </c>
      <c r="K162" t="s">
        <v>20</v>
      </c>
      <c r="L162" t="s">
        <v>22</v>
      </c>
      <c r="M162" s="1" t="s">
        <v>20</v>
      </c>
      <c r="N162" t="s">
        <v>20</v>
      </c>
      <c r="O162" t="s">
        <v>20</v>
      </c>
      <c r="P162" t="s">
        <v>20</v>
      </c>
      <c r="Q162" t="s">
        <v>20</v>
      </c>
      <c r="R162" t="s">
        <v>20</v>
      </c>
      <c r="S162" t="s">
        <v>20</v>
      </c>
    </row>
    <row r="163" spans="1:19">
      <c r="A163" s="1" t="s">
        <v>182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s="1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s="1" t="s">
        <v>20</v>
      </c>
      <c r="N163" t="s">
        <v>20</v>
      </c>
      <c r="O163" t="s">
        <v>20</v>
      </c>
      <c r="P163" t="s">
        <v>20</v>
      </c>
      <c r="Q163" t="s">
        <v>20</v>
      </c>
      <c r="R163" t="s">
        <v>20</v>
      </c>
      <c r="S163" t="s">
        <v>20</v>
      </c>
    </row>
    <row r="164" spans="1:19">
      <c r="A164" s="1" t="s">
        <v>183</v>
      </c>
      <c r="B164" t="s">
        <v>22</v>
      </c>
      <c r="C164" t="s">
        <v>22</v>
      </c>
      <c r="D164" t="s">
        <v>22</v>
      </c>
      <c r="E164" t="s">
        <v>20</v>
      </c>
      <c r="F164" t="s">
        <v>20</v>
      </c>
      <c r="G164" s="1" t="s">
        <v>22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s="1" t="s">
        <v>20</v>
      </c>
      <c r="N164" t="s">
        <v>20</v>
      </c>
      <c r="O164" t="s">
        <v>22</v>
      </c>
      <c r="P164" t="s">
        <v>20</v>
      </c>
      <c r="Q164" t="s">
        <v>20</v>
      </c>
      <c r="R164" t="s">
        <v>22</v>
      </c>
      <c r="S164" t="s">
        <v>20</v>
      </c>
    </row>
    <row r="165" spans="1:19">
      <c r="A165" s="1" t="s">
        <v>184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s="1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s="1" t="s">
        <v>20</v>
      </c>
      <c r="N165" t="s">
        <v>20</v>
      </c>
      <c r="O165" t="s">
        <v>20</v>
      </c>
      <c r="P165" t="s">
        <v>20</v>
      </c>
      <c r="Q165" t="s">
        <v>20</v>
      </c>
      <c r="R165" t="s">
        <v>20</v>
      </c>
      <c r="S165" t="s">
        <v>20</v>
      </c>
    </row>
    <row r="166" spans="1:19">
      <c r="A166" s="1" t="s">
        <v>185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s="1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s="1" t="s">
        <v>20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  <c r="S166" t="s">
        <v>20</v>
      </c>
    </row>
    <row r="167" spans="1:19">
      <c r="A167" s="1" t="s">
        <v>186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s="1" t="s">
        <v>22</v>
      </c>
      <c r="H167" t="s">
        <v>22</v>
      </c>
      <c r="I167" t="s">
        <v>20</v>
      </c>
      <c r="J167" t="s">
        <v>20</v>
      </c>
      <c r="K167" t="s">
        <v>20</v>
      </c>
      <c r="L167" t="s">
        <v>20</v>
      </c>
      <c r="M167" s="1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</row>
    <row r="168" spans="1:19">
      <c r="A168" s="1" t="s">
        <v>187</v>
      </c>
      <c r="B168" t="s">
        <v>20</v>
      </c>
      <c r="C168" t="s">
        <v>20</v>
      </c>
      <c r="D168" t="s">
        <v>22</v>
      </c>
      <c r="E168" t="s">
        <v>22</v>
      </c>
      <c r="F168" t="s">
        <v>20</v>
      </c>
      <c r="G168" s="1" t="s">
        <v>20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s="1" t="s">
        <v>22</v>
      </c>
      <c r="N168" t="s">
        <v>20</v>
      </c>
      <c r="O168" t="s">
        <v>20</v>
      </c>
      <c r="P168" t="s">
        <v>20</v>
      </c>
      <c r="Q168" t="s">
        <v>20</v>
      </c>
      <c r="R168" t="s">
        <v>20</v>
      </c>
      <c r="S168" t="s">
        <v>20</v>
      </c>
    </row>
    <row r="169" spans="1:19">
      <c r="A169" s="1" t="s">
        <v>188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s="1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s="1" t="s">
        <v>20</v>
      </c>
      <c r="N169" t="s">
        <v>20</v>
      </c>
      <c r="O169" t="s">
        <v>20</v>
      </c>
      <c r="P169" t="s">
        <v>20</v>
      </c>
      <c r="Q169" t="s">
        <v>20</v>
      </c>
      <c r="R169" t="s">
        <v>20</v>
      </c>
      <c r="S169" t="s">
        <v>20</v>
      </c>
    </row>
    <row r="170" spans="1:19">
      <c r="A170" s="1" t="s">
        <v>189</v>
      </c>
      <c r="B170" t="s">
        <v>20</v>
      </c>
      <c r="C170" t="s">
        <v>20</v>
      </c>
      <c r="D170" t="s">
        <v>22</v>
      </c>
      <c r="E170" t="s">
        <v>20</v>
      </c>
      <c r="F170" t="s">
        <v>20</v>
      </c>
      <c r="G170" s="1" t="s">
        <v>20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s="1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</row>
    <row r="171" spans="1:19">
      <c r="A171" s="1" t="s">
        <v>190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s="1" t="s">
        <v>20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s="1" t="s">
        <v>22</v>
      </c>
      <c r="N171" t="s">
        <v>20</v>
      </c>
      <c r="O171" t="s">
        <v>20</v>
      </c>
      <c r="P171" t="s">
        <v>20</v>
      </c>
      <c r="Q171" t="s">
        <v>20</v>
      </c>
      <c r="R171" t="s">
        <v>20</v>
      </c>
      <c r="S171" t="s">
        <v>20</v>
      </c>
    </row>
    <row r="172" spans="1:19">
      <c r="A172" s="1" t="s">
        <v>191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s="1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s="1" t="s">
        <v>20</v>
      </c>
      <c r="N172" t="s">
        <v>20</v>
      </c>
      <c r="O172" t="s">
        <v>20</v>
      </c>
      <c r="P172" t="s">
        <v>20</v>
      </c>
      <c r="Q172" t="s">
        <v>20</v>
      </c>
      <c r="R172" t="s">
        <v>20</v>
      </c>
      <c r="S172" t="s">
        <v>20</v>
      </c>
    </row>
    <row r="173" spans="1:19">
      <c r="A173" s="1" t="s">
        <v>192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s="1" t="s">
        <v>20</v>
      </c>
      <c r="H173" t="s">
        <v>22</v>
      </c>
      <c r="I173" t="s">
        <v>20</v>
      </c>
      <c r="J173" t="s">
        <v>20</v>
      </c>
      <c r="K173" t="s">
        <v>20</v>
      </c>
      <c r="L173" t="s">
        <v>20</v>
      </c>
      <c r="M173" s="1" t="s">
        <v>20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  <c r="S173" t="s">
        <v>20</v>
      </c>
    </row>
    <row r="174" spans="1:19">
      <c r="A174" s="1" t="s">
        <v>193</v>
      </c>
      <c r="B174" t="s">
        <v>20</v>
      </c>
      <c r="C174" t="s">
        <v>22</v>
      </c>
      <c r="D174" t="s">
        <v>20</v>
      </c>
      <c r="E174" t="s">
        <v>22</v>
      </c>
      <c r="F174" t="s">
        <v>20</v>
      </c>
      <c r="G174" s="1" t="s">
        <v>20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 s="1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</row>
    <row r="175" spans="1:19">
      <c r="A175" s="1" t="s">
        <v>194</v>
      </c>
      <c r="B175" t="s">
        <v>22</v>
      </c>
      <c r="C175" t="s">
        <v>22</v>
      </c>
      <c r="D175" t="s">
        <v>22</v>
      </c>
      <c r="E175" t="s">
        <v>20</v>
      </c>
      <c r="F175" t="s">
        <v>20</v>
      </c>
      <c r="G175" s="1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s="1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</row>
    <row r="176" spans="1:19">
      <c r="A176" s="1" t="s">
        <v>195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s="1" t="s">
        <v>20</v>
      </c>
      <c r="H176" t="s">
        <v>20</v>
      </c>
      <c r="I176" t="s">
        <v>22</v>
      </c>
      <c r="J176" t="s">
        <v>20</v>
      </c>
      <c r="K176" t="s">
        <v>22</v>
      </c>
      <c r="L176" t="s">
        <v>22</v>
      </c>
      <c r="M176" s="1" t="s">
        <v>20</v>
      </c>
      <c r="N176" t="s">
        <v>20</v>
      </c>
      <c r="O176" t="s">
        <v>20</v>
      </c>
      <c r="P176" t="s">
        <v>20</v>
      </c>
      <c r="Q176" t="s">
        <v>20</v>
      </c>
      <c r="R176" t="s">
        <v>20</v>
      </c>
      <c r="S176" t="s">
        <v>20</v>
      </c>
    </row>
    <row r="177" spans="1:19">
      <c r="A177" s="1" t="s">
        <v>196</v>
      </c>
      <c r="B177" t="s">
        <v>22</v>
      </c>
      <c r="C177" t="s">
        <v>20</v>
      </c>
      <c r="D177" t="s">
        <v>20</v>
      </c>
      <c r="E177" t="s">
        <v>20</v>
      </c>
      <c r="F177" t="s">
        <v>20</v>
      </c>
      <c r="G177" s="1" t="s">
        <v>20</v>
      </c>
      <c r="H177" t="s">
        <v>20</v>
      </c>
      <c r="I177" t="s">
        <v>20</v>
      </c>
      <c r="J177" t="s">
        <v>20</v>
      </c>
      <c r="K177" t="s">
        <v>22</v>
      </c>
      <c r="L177" t="s">
        <v>20</v>
      </c>
      <c r="M177" s="1" t="s">
        <v>22</v>
      </c>
      <c r="N177" t="s">
        <v>22</v>
      </c>
      <c r="O177" t="s">
        <v>20</v>
      </c>
      <c r="P177" t="s">
        <v>20</v>
      </c>
      <c r="Q177" t="s">
        <v>20</v>
      </c>
      <c r="R177" t="s">
        <v>20</v>
      </c>
      <c r="S177" t="s">
        <v>20</v>
      </c>
    </row>
    <row r="178" spans="1:19">
      <c r="A178" s="1" t="s">
        <v>197</v>
      </c>
      <c r="B178" t="s">
        <v>20</v>
      </c>
      <c r="C178" t="s">
        <v>22</v>
      </c>
      <c r="D178" t="s">
        <v>20</v>
      </c>
      <c r="E178" t="s">
        <v>22</v>
      </c>
      <c r="F178" t="s">
        <v>20</v>
      </c>
      <c r="G178" s="1" t="s">
        <v>22</v>
      </c>
      <c r="H178" t="s">
        <v>20</v>
      </c>
      <c r="I178" t="s">
        <v>22</v>
      </c>
      <c r="J178" t="s">
        <v>22</v>
      </c>
      <c r="K178" t="s">
        <v>22</v>
      </c>
      <c r="L178" t="s">
        <v>20</v>
      </c>
      <c r="M178" s="1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</row>
    <row r="179" spans="1:19">
      <c r="A179" s="1" t="s">
        <v>198</v>
      </c>
      <c r="B179" t="s">
        <v>22</v>
      </c>
      <c r="C179" t="s">
        <v>20</v>
      </c>
      <c r="D179" t="s">
        <v>22</v>
      </c>
      <c r="E179" t="s">
        <v>20</v>
      </c>
      <c r="F179" t="s">
        <v>20</v>
      </c>
      <c r="G179" s="1" t="s">
        <v>22</v>
      </c>
      <c r="H179" t="s">
        <v>22</v>
      </c>
      <c r="I179" t="s">
        <v>20</v>
      </c>
      <c r="J179" t="s">
        <v>22</v>
      </c>
      <c r="K179" t="s">
        <v>22</v>
      </c>
      <c r="L179" t="s">
        <v>22</v>
      </c>
      <c r="M179" s="1" t="s">
        <v>22</v>
      </c>
      <c r="N179" t="s">
        <v>20</v>
      </c>
      <c r="O179" t="s">
        <v>20</v>
      </c>
      <c r="P179" t="s">
        <v>22</v>
      </c>
      <c r="Q179" t="s">
        <v>20</v>
      </c>
      <c r="R179" t="s">
        <v>22</v>
      </c>
      <c r="S179" t="s">
        <v>20</v>
      </c>
    </row>
    <row r="180" spans="1:19">
      <c r="A180" s="1" t="s">
        <v>199</v>
      </c>
      <c r="B180" t="s">
        <v>20</v>
      </c>
      <c r="C180" t="s">
        <v>20</v>
      </c>
      <c r="D180" t="s">
        <v>20</v>
      </c>
      <c r="E180" t="s">
        <v>22</v>
      </c>
      <c r="F180" t="s">
        <v>22</v>
      </c>
      <c r="G180" s="1" t="s">
        <v>20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s="1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</row>
    <row r="181" spans="1:19">
      <c r="A181" s="1" t="s">
        <v>200</v>
      </c>
      <c r="B181" t="s">
        <v>22</v>
      </c>
      <c r="C181" t="s">
        <v>22</v>
      </c>
      <c r="D181" t="s">
        <v>20</v>
      </c>
      <c r="E181" t="s">
        <v>22</v>
      </c>
      <c r="F181" t="s">
        <v>22</v>
      </c>
      <c r="G181" s="1" t="s">
        <v>22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s="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</row>
    <row r="182" spans="1:19">
      <c r="A182" s="1" t="s">
        <v>201</v>
      </c>
      <c r="B182" t="s">
        <v>22</v>
      </c>
      <c r="C182" t="s">
        <v>22</v>
      </c>
      <c r="D182" t="s">
        <v>22</v>
      </c>
      <c r="E182" t="s">
        <v>22</v>
      </c>
      <c r="F182" t="s">
        <v>20</v>
      </c>
      <c r="G182" s="1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s="1" t="s">
        <v>20</v>
      </c>
      <c r="N182" t="s">
        <v>22</v>
      </c>
      <c r="O182" t="s">
        <v>20</v>
      </c>
      <c r="P182" t="s">
        <v>20</v>
      </c>
      <c r="Q182" t="s">
        <v>22</v>
      </c>
      <c r="R182" t="s">
        <v>20</v>
      </c>
      <c r="S182" t="s">
        <v>20</v>
      </c>
    </row>
    <row r="183" spans="1:19" s="3" customFormat="1">
      <c r="A183" s="2" t="s">
        <v>202</v>
      </c>
      <c r="B183" s="3" t="s">
        <v>20</v>
      </c>
      <c r="C183" s="3" t="s">
        <v>20</v>
      </c>
      <c r="D183" s="3" t="s">
        <v>20</v>
      </c>
      <c r="E183" s="3" t="s">
        <v>20</v>
      </c>
      <c r="F183" s="3" t="s">
        <v>20</v>
      </c>
      <c r="G183" s="2" t="s">
        <v>20</v>
      </c>
      <c r="H183" s="3" t="s">
        <v>20</v>
      </c>
      <c r="I183" s="3" t="s">
        <v>20</v>
      </c>
      <c r="J183" s="3" t="s">
        <v>20</v>
      </c>
      <c r="K183" s="3" t="s">
        <v>20</v>
      </c>
      <c r="L183" s="3" t="s">
        <v>20</v>
      </c>
      <c r="M183" s="2" t="s">
        <v>20</v>
      </c>
      <c r="N183" s="3" t="s">
        <v>20</v>
      </c>
      <c r="O183" s="3" t="s">
        <v>20</v>
      </c>
      <c r="P183" s="3" t="s">
        <v>20</v>
      </c>
      <c r="Q183" s="3" t="s">
        <v>20</v>
      </c>
      <c r="R183" s="3" t="s">
        <v>20</v>
      </c>
      <c r="S183" s="3" t="s">
        <v>20</v>
      </c>
    </row>
    <row r="184" spans="1:19">
      <c r="A184" s="1" t="s">
        <v>203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s="1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s="1" t="s">
        <v>20</v>
      </c>
      <c r="N184" t="s">
        <v>20</v>
      </c>
      <c r="O184" t="s">
        <v>20</v>
      </c>
      <c r="P184" t="s">
        <v>20</v>
      </c>
      <c r="Q184" t="s">
        <v>20</v>
      </c>
      <c r="R184" t="s">
        <v>20</v>
      </c>
      <c r="S184" t="s">
        <v>20</v>
      </c>
    </row>
    <row r="185" spans="1:19">
      <c r="A185" s="1" t="s">
        <v>204</v>
      </c>
      <c r="B185" t="s">
        <v>20</v>
      </c>
      <c r="C185" t="s">
        <v>20</v>
      </c>
      <c r="D185" t="s">
        <v>22</v>
      </c>
      <c r="E185" t="s">
        <v>22</v>
      </c>
      <c r="F185" t="s">
        <v>22</v>
      </c>
      <c r="G185" s="1" t="s">
        <v>22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s="1" t="s">
        <v>20</v>
      </c>
      <c r="N185" t="s">
        <v>20</v>
      </c>
      <c r="O185" t="s">
        <v>20</v>
      </c>
      <c r="P185" t="s">
        <v>20</v>
      </c>
      <c r="Q185" t="s">
        <v>20</v>
      </c>
      <c r="R185" t="s">
        <v>20</v>
      </c>
      <c r="S185" t="s">
        <v>20</v>
      </c>
    </row>
    <row r="186" spans="1:19">
      <c r="A186" s="1" t="s">
        <v>205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s="1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s="1" t="s">
        <v>20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  <c r="S186" t="s">
        <v>20</v>
      </c>
    </row>
    <row r="187" spans="1:19">
      <c r="A187" s="1" t="s">
        <v>206</v>
      </c>
      <c r="B187" t="s">
        <v>22</v>
      </c>
      <c r="C187" t="s">
        <v>22</v>
      </c>
      <c r="D187" t="s">
        <v>22</v>
      </c>
      <c r="E187" t="s">
        <v>22</v>
      </c>
      <c r="F187" t="s">
        <v>22</v>
      </c>
      <c r="G187" s="1" t="s">
        <v>22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s="1" t="s">
        <v>20</v>
      </c>
      <c r="N187" t="s">
        <v>20</v>
      </c>
      <c r="O187" t="s">
        <v>20</v>
      </c>
      <c r="P187" t="s">
        <v>20</v>
      </c>
      <c r="Q187" t="s">
        <v>20</v>
      </c>
      <c r="R187" t="s">
        <v>20</v>
      </c>
      <c r="S187" t="s">
        <v>20</v>
      </c>
    </row>
    <row r="188" spans="1:19">
      <c r="A188" s="1" t="s">
        <v>207</v>
      </c>
      <c r="B188" t="s">
        <v>20</v>
      </c>
      <c r="C188" t="s">
        <v>20</v>
      </c>
      <c r="D188" t="s">
        <v>20</v>
      </c>
      <c r="E188" t="s">
        <v>20</v>
      </c>
      <c r="F188" t="s">
        <v>22</v>
      </c>
      <c r="G188" s="1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s="1" t="s">
        <v>20</v>
      </c>
      <c r="N188" t="s">
        <v>20</v>
      </c>
      <c r="O188" t="s">
        <v>20</v>
      </c>
      <c r="P188" t="s">
        <v>20</v>
      </c>
      <c r="Q188" t="s">
        <v>20</v>
      </c>
      <c r="R188" t="s">
        <v>20</v>
      </c>
      <c r="S188" t="s">
        <v>20</v>
      </c>
    </row>
    <row r="189" spans="1:19">
      <c r="A189" s="1" t="s">
        <v>208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s="1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s="1" t="s">
        <v>20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  <c r="S189" t="s">
        <v>20</v>
      </c>
    </row>
    <row r="190" spans="1:19">
      <c r="A190" s="1" t="s">
        <v>209</v>
      </c>
      <c r="B190" t="s">
        <v>20</v>
      </c>
      <c r="C190" t="s">
        <v>20</v>
      </c>
      <c r="D190" t="s">
        <v>22</v>
      </c>
      <c r="E190" t="s">
        <v>20</v>
      </c>
      <c r="F190" t="s">
        <v>20</v>
      </c>
      <c r="G190" s="1" t="s">
        <v>20</v>
      </c>
      <c r="H190" t="s">
        <v>20</v>
      </c>
      <c r="I190" t="s">
        <v>20</v>
      </c>
      <c r="J190" t="s">
        <v>22</v>
      </c>
      <c r="K190" t="s">
        <v>22</v>
      </c>
      <c r="L190" t="s">
        <v>20</v>
      </c>
      <c r="M190" s="1" t="s">
        <v>22</v>
      </c>
      <c r="N190" t="s">
        <v>20</v>
      </c>
      <c r="O190" t="s">
        <v>20</v>
      </c>
      <c r="P190" t="s">
        <v>20</v>
      </c>
      <c r="Q190" t="s">
        <v>20</v>
      </c>
      <c r="R190" t="s">
        <v>20</v>
      </c>
      <c r="S190" t="s">
        <v>20</v>
      </c>
    </row>
    <row r="191" spans="1:19">
      <c r="A191" s="1" t="s">
        <v>210</v>
      </c>
      <c r="B191" t="s">
        <v>22</v>
      </c>
      <c r="C191" t="s">
        <v>20</v>
      </c>
      <c r="D191" t="s">
        <v>20</v>
      </c>
      <c r="E191" t="s">
        <v>20</v>
      </c>
      <c r="F191" t="s">
        <v>20</v>
      </c>
      <c r="G191" s="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s="1" t="s">
        <v>20</v>
      </c>
      <c r="N191" t="s">
        <v>20</v>
      </c>
      <c r="O191" t="s">
        <v>20</v>
      </c>
      <c r="P191" t="s">
        <v>20</v>
      </c>
      <c r="Q191" t="s">
        <v>20</v>
      </c>
      <c r="R191" t="s">
        <v>20</v>
      </c>
      <c r="S191" t="s">
        <v>20</v>
      </c>
    </row>
    <row r="192" spans="1:19">
      <c r="A192" s="1" t="s">
        <v>211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s="1" t="s">
        <v>20</v>
      </c>
      <c r="H192" t="s">
        <v>20</v>
      </c>
      <c r="I192" t="s">
        <v>20</v>
      </c>
      <c r="J192" t="s">
        <v>20</v>
      </c>
      <c r="K192" t="s">
        <v>22</v>
      </c>
      <c r="L192" t="s">
        <v>20</v>
      </c>
      <c r="M192" s="1" t="s">
        <v>20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  <c r="S192" t="s">
        <v>20</v>
      </c>
    </row>
    <row r="193" spans="1:19">
      <c r="A193" s="1" t="s">
        <v>212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s="1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s="1" t="s">
        <v>22</v>
      </c>
      <c r="N193" t="s">
        <v>20</v>
      </c>
      <c r="O193" t="s">
        <v>20</v>
      </c>
      <c r="P193" t="s">
        <v>22</v>
      </c>
      <c r="Q193" t="s">
        <v>22</v>
      </c>
      <c r="R193" t="s">
        <v>20</v>
      </c>
      <c r="S193" t="s">
        <v>22</v>
      </c>
    </row>
    <row r="194" spans="1:19">
      <c r="A194" s="1" t="s">
        <v>213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s="1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s="1" t="s">
        <v>20</v>
      </c>
      <c r="N194" t="s">
        <v>20</v>
      </c>
      <c r="O194" t="s">
        <v>20</v>
      </c>
      <c r="P194" t="s">
        <v>20</v>
      </c>
      <c r="Q194" t="s">
        <v>20</v>
      </c>
      <c r="R194" t="s">
        <v>20</v>
      </c>
      <c r="S194" t="s">
        <v>20</v>
      </c>
    </row>
    <row r="195" spans="1:19">
      <c r="A195" s="1" t="s">
        <v>214</v>
      </c>
      <c r="B195" t="s">
        <v>22</v>
      </c>
      <c r="C195" t="s">
        <v>20</v>
      </c>
      <c r="D195" t="s">
        <v>20</v>
      </c>
      <c r="E195" t="s">
        <v>22</v>
      </c>
      <c r="F195" t="s">
        <v>22</v>
      </c>
      <c r="G195" s="1" t="s">
        <v>22</v>
      </c>
      <c r="H195" t="s">
        <v>22</v>
      </c>
      <c r="I195" t="s">
        <v>20</v>
      </c>
      <c r="J195" t="s">
        <v>20</v>
      </c>
      <c r="K195" t="s">
        <v>20</v>
      </c>
      <c r="L195" t="s">
        <v>20</v>
      </c>
      <c r="M195" s="1" t="s">
        <v>20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  <c r="S195" t="s">
        <v>20</v>
      </c>
    </row>
    <row r="196" spans="1:19">
      <c r="A196" s="1" t="s">
        <v>215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s="1" t="s">
        <v>20</v>
      </c>
      <c r="H196" t="s">
        <v>20</v>
      </c>
      <c r="I196" t="s">
        <v>20</v>
      </c>
      <c r="J196" t="s">
        <v>22</v>
      </c>
      <c r="K196" t="s">
        <v>20</v>
      </c>
      <c r="L196" t="s">
        <v>20</v>
      </c>
      <c r="M196" s="1" t="s">
        <v>20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  <c r="S196" t="s">
        <v>20</v>
      </c>
    </row>
    <row r="197" spans="1:19">
      <c r="A197" s="1" t="s">
        <v>216</v>
      </c>
      <c r="B197" t="s">
        <v>22</v>
      </c>
      <c r="C197" t="s">
        <v>22</v>
      </c>
      <c r="D197" t="s">
        <v>20</v>
      </c>
      <c r="E197" t="s">
        <v>22</v>
      </c>
      <c r="F197" t="s">
        <v>22</v>
      </c>
      <c r="G197" s="1" t="s">
        <v>20</v>
      </c>
      <c r="H197" t="s">
        <v>20</v>
      </c>
      <c r="I197" t="s">
        <v>20</v>
      </c>
      <c r="J197" t="s">
        <v>20</v>
      </c>
      <c r="K197" t="s">
        <v>22</v>
      </c>
      <c r="L197" t="s">
        <v>22</v>
      </c>
      <c r="M197" s="1" t="s">
        <v>22</v>
      </c>
      <c r="N197" t="s">
        <v>22</v>
      </c>
      <c r="O197" t="s">
        <v>22</v>
      </c>
      <c r="P197" t="s">
        <v>22</v>
      </c>
      <c r="Q197" t="s">
        <v>20</v>
      </c>
      <c r="R197" t="s">
        <v>20</v>
      </c>
      <c r="S197" t="s">
        <v>22</v>
      </c>
    </row>
    <row r="198" spans="1:19">
      <c r="A198" s="1" t="s">
        <v>217</v>
      </c>
      <c r="B198" t="s">
        <v>22</v>
      </c>
      <c r="C198" t="s">
        <v>20</v>
      </c>
      <c r="D198" t="s">
        <v>20</v>
      </c>
      <c r="E198" t="s">
        <v>20</v>
      </c>
      <c r="F198" t="s">
        <v>22</v>
      </c>
      <c r="G198" s="1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s="1" t="s">
        <v>20</v>
      </c>
      <c r="N198" t="s">
        <v>20</v>
      </c>
      <c r="O198" t="s">
        <v>20</v>
      </c>
      <c r="P198" t="s">
        <v>20</v>
      </c>
      <c r="Q198" t="s">
        <v>20</v>
      </c>
      <c r="R198" t="s">
        <v>20</v>
      </c>
      <c r="S198" t="s">
        <v>20</v>
      </c>
    </row>
    <row r="199" spans="1:19">
      <c r="A199" s="1" t="s">
        <v>218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s="1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s="1" t="s">
        <v>20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  <c r="S199" t="s">
        <v>20</v>
      </c>
    </row>
    <row r="200" spans="1:19">
      <c r="A200" s="1" t="s">
        <v>219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s="1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s="1" t="s">
        <v>20</v>
      </c>
      <c r="N200" t="s">
        <v>20</v>
      </c>
      <c r="O200" t="s">
        <v>20</v>
      </c>
      <c r="P200" t="s">
        <v>20</v>
      </c>
      <c r="Q200" t="s">
        <v>20</v>
      </c>
      <c r="R200" t="s">
        <v>20</v>
      </c>
      <c r="S200" t="s">
        <v>20</v>
      </c>
    </row>
    <row r="201" spans="1:19">
      <c r="A201" s="1" t="s">
        <v>220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s="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s="1" t="s">
        <v>20</v>
      </c>
      <c r="N201" t="s">
        <v>20</v>
      </c>
      <c r="O201" t="s">
        <v>20</v>
      </c>
      <c r="P201" t="s">
        <v>20</v>
      </c>
      <c r="Q201" t="s">
        <v>20</v>
      </c>
      <c r="R201" t="s">
        <v>20</v>
      </c>
      <c r="S201" t="s">
        <v>20</v>
      </c>
    </row>
    <row r="202" spans="1:19">
      <c r="A202" s="1" t="s">
        <v>221</v>
      </c>
      <c r="B202" t="s">
        <v>22</v>
      </c>
      <c r="C202" t="s">
        <v>22</v>
      </c>
      <c r="D202" t="s">
        <v>22</v>
      </c>
      <c r="E202" t="s">
        <v>20</v>
      </c>
      <c r="F202" t="s">
        <v>20</v>
      </c>
      <c r="G202" s="1" t="s">
        <v>22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s="1" t="s">
        <v>20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  <c r="S202" t="s">
        <v>20</v>
      </c>
    </row>
    <row r="203" spans="1:19">
      <c r="A203" s="1" t="s">
        <v>222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s="1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s="1" t="s">
        <v>20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  <c r="S203" t="s">
        <v>20</v>
      </c>
    </row>
    <row r="204" spans="1:19">
      <c r="A204" s="1" t="s">
        <v>223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s="1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s="1" t="s">
        <v>20</v>
      </c>
      <c r="N204" t="s">
        <v>20</v>
      </c>
      <c r="O204" t="s">
        <v>20</v>
      </c>
      <c r="P204" t="s">
        <v>20</v>
      </c>
      <c r="Q204" t="s">
        <v>20</v>
      </c>
      <c r="R204" t="s">
        <v>20</v>
      </c>
      <c r="S204" t="s">
        <v>20</v>
      </c>
    </row>
    <row r="205" spans="1:19">
      <c r="A205" s="1" t="s">
        <v>224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s="1" t="s">
        <v>20</v>
      </c>
      <c r="H205" t="s">
        <v>20</v>
      </c>
      <c r="I205" t="s">
        <v>20</v>
      </c>
      <c r="J205" t="s">
        <v>20</v>
      </c>
      <c r="K205" t="s">
        <v>22</v>
      </c>
      <c r="L205" t="s">
        <v>20</v>
      </c>
      <c r="M205" s="1" t="s">
        <v>20</v>
      </c>
      <c r="N205" t="s">
        <v>20</v>
      </c>
      <c r="O205" t="s">
        <v>20</v>
      </c>
      <c r="P205" t="s">
        <v>20</v>
      </c>
      <c r="Q205" t="s">
        <v>22</v>
      </c>
      <c r="R205" t="s">
        <v>20</v>
      </c>
      <c r="S205" t="s">
        <v>20</v>
      </c>
    </row>
    <row r="206" spans="1:19">
      <c r="A206" s="1" t="s">
        <v>225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s="1" t="s">
        <v>20</v>
      </c>
      <c r="H206" t="s">
        <v>20</v>
      </c>
      <c r="I206" t="s">
        <v>22</v>
      </c>
      <c r="J206" t="s">
        <v>22</v>
      </c>
      <c r="K206" t="s">
        <v>22</v>
      </c>
      <c r="L206" t="s">
        <v>22</v>
      </c>
      <c r="M206" s="1" t="s">
        <v>22</v>
      </c>
      <c r="N206" t="s">
        <v>20</v>
      </c>
      <c r="O206" t="s">
        <v>20</v>
      </c>
      <c r="P206" t="s">
        <v>20</v>
      </c>
      <c r="Q206" t="s">
        <v>20</v>
      </c>
      <c r="R206" t="s">
        <v>20</v>
      </c>
      <c r="S206" t="s">
        <v>20</v>
      </c>
    </row>
    <row r="207" spans="1:19">
      <c r="A207" s="1" t="s">
        <v>226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s="1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s="1" t="s">
        <v>20</v>
      </c>
      <c r="N207" t="s">
        <v>20</v>
      </c>
      <c r="O207" t="s">
        <v>20</v>
      </c>
      <c r="P207" t="s">
        <v>20</v>
      </c>
      <c r="Q207" t="s">
        <v>20</v>
      </c>
      <c r="R207" t="s">
        <v>20</v>
      </c>
      <c r="S207" t="s">
        <v>20</v>
      </c>
    </row>
    <row r="208" spans="1:19">
      <c r="A208" s="1" t="s">
        <v>227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s="1" t="s">
        <v>20</v>
      </c>
      <c r="H208" t="s">
        <v>20</v>
      </c>
      <c r="I208" t="s">
        <v>22</v>
      </c>
      <c r="J208" t="s">
        <v>20</v>
      </c>
      <c r="K208" t="s">
        <v>20</v>
      </c>
      <c r="L208" t="s">
        <v>20</v>
      </c>
      <c r="M208" s="1" t="s">
        <v>20</v>
      </c>
      <c r="N208" t="s">
        <v>20</v>
      </c>
      <c r="O208" t="s">
        <v>20</v>
      </c>
      <c r="P208" t="s">
        <v>20</v>
      </c>
      <c r="Q208" t="s">
        <v>20</v>
      </c>
      <c r="R208" t="s">
        <v>20</v>
      </c>
      <c r="S208" t="s">
        <v>20</v>
      </c>
    </row>
    <row r="209" spans="1:19">
      <c r="A209" s="1" t="s">
        <v>228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s="1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s="1" t="s">
        <v>20</v>
      </c>
      <c r="N209" t="s">
        <v>20</v>
      </c>
      <c r="O209" t="s">
        <v>20</v>
      </c>
      <c r="P209" t="s">
        <v>20</v>
      </c>
      <c r="Q209" t="s">
        <v>20</v>
      </c>
      <c r="R209" t="s">
        <v>20</v>
      </c>
      <c r="S209" t="s">
        <v>20</v>
      </c>
    </row>
    <row r="210" spans="1:19">
      <c r="A210" s="1" t="s">
        <v>229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s="1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s="1" t="s">
        <v>20</v>
      </c>
      <c r="N210" t="s">
        <v>22</v>
      </c>
      <c r="O210" t="s">
        <v>20</v>
      </c>
      <c r="P210" t="s">
        <v>20</v>
      </c>
      <c r="Q210" t="s">
        <v>20</v>
      </c>
      <c r="R210" t="s">
        <v>22</v>
      </c>
      <c r="S210" t="s">
        <v>20</v>
      </c>
    </row>
    <row r="211" spans="1:19">
      <c r="A211" s="1" t="s">
        <v>230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s="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s="1" t="s">
        <v>20</v>
      </c>
      <c r="N211" t="s">
        <v>20</v>
      </c>
      <c r="O211" t="s">
        <v>20</v>
      </c>
      <c r="P211" t="s">
        <v>20</v>
      </c>
      <c r="Q211" t="s">
        <v>20</v>
      </c>
      <c r="R211" t="s">
        <v>20</v>
      </c>
      <c r="S211" t="s">
        <v>20</v>
      </c>
    </row>
    <row r="212" spans="1:19">
      <c r="A212" s="1" t="s">
        <v>231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s="1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s="1" t="s">
        <v>20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  <c r="S212" t="s">
        <v>20</v>
      </c>
    </row>
    <row r="213" spans="1:19">
      <c r="A213" s="1" t="s">
        <v>232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s="1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s="1" t="s">
        <v>20</v>
      </c>
      <c r="N213" t="s">
        <v>20</v>
      </c>
      <c r="O213" t="s">
        <v>20</v>
      </c>
      <c r="P213" t="s">
        <v>20</v>
      </c>
      <c r="Q213" t="s">
        <v>20</v>
      </c>
      <c r="R213" t="s">
        <v>20</v>
      </c>
      <c r="S213" t="s">
        <v>20</v>
      </c>
    </row>
    <row r="214" spans="1:19">
      <c r="A214" s="1" t="s">
        <v>233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s="1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s="1" t="s">
        <v>20</v>
      </c>
      <c r="N214" t="s">
        <v>22</v>
      </c>
      <c r="O214" t="s">
        <v>22</v>
      </c>
      <c r="P214" t="s">
        <v>22</v>
      </c>
      <c r="Q214" t="s">
        <v>20</v>
      </c>
      <c r="R214" t="s">
        <v>22</v>
      </c>
      <c r="S214" t="s">
        <v>22</v>
      </c>
    </row>
    <row r="215" spans="1:19">
      <c r="A215" s="1" t="s">
        <v>234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s="1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s="1" t="s">
        <v>20</v>
      </c>
      <c r="N215" t="s">
        <v>20</v>
      </c>
      <c r="O215" t="s">
        <v>20</v>
      </c>
      <c r="P215" t="s">
        <v>20</v>
      </c>
      <c r="Q215" t="s">
        <v>20</v>
      </c>
      <c r="R215" t="s">
        <v>20</v>
      </c>
      <c r="S215" t="s">
        <v>20</v>
      </c>
    </row>
    <row r="216" spans="1:19">
      <c r="A216" s="1" t="s">
        <v>235</v>
      </c>
      <c r="B216" t="s">
        <v>20</v>
      </c>
      <c r="C216" t="s">
        <v>20</v>
      </c>
      <c r="D216" t="s">
        <v>22</v>
      </c>
      <c r="E216" t="s">
        <v>20</v>
      </c>
      <c r="F216" t="s">
        <v>20</v>
      </c>
      <c r="G216" s="1" t="s">
        <v>20</v>
      </c>
      <c r="H216" t="s">
        <v>20</v>
      </c>
      <c r="I216" t="s">
        <v>20</v>
      </c>
      <c r="J216" t="s">
        <v>22</v>
      </c>
      <c r="K216" t="s">
        <v>20</v>
      </c>
      <c r="L216" t="s">
        <v>20</v>
      </c>
      <c r="M216" s="1" t="s">
        <v>20</v>
      </c>
      <c r="N216" t="s">
        <v>20</v>
      </c>
      <c r="O216" t="s">
        <v>20</v>
      </c>
      <c r="P216" t="s">
        <v>22</v>
      </c>
      <c r="Q216" t="s">
        <v>22</v>
      </c>
      <c r="R216" t="s">
        <v>22</v>
      </c>
      <c r="S216" t="s">
        <v>20</v>
      </c>
    </row>
    <row r="217" spans="1:19">
      <c r="A217" s="1" t="s">
        <v>236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s="1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s="1" t="s">
        <v>20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  <c r="S217" t="s">
        <v>20</v>
      </c>
    </row>
    <row r="218" spans="1:19">
      <c r="A218" s="1" t="s">
        <v>237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s="1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s="1" t="s">
        <v>20</v>
      </c>
      <c r="N218" t="s">
        <v>20</v>
      </c>
      <c r="O218" t="s">
        <v>20</v>
      </c>
      <c r="P218" t="s">
        <v>20</v>
      </c>
      <c r="Q218" t="s">
        <v>20</v>
      </c>
      <c r="R218" t="s">
        <v>20</v>
      </c>
      <c r="S218" t="s">
        <v>20</v>
      </c>
    </row>
    <row r="219" spans="1:19">
      <c r="A219" s="1" t="s">
        <v>238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s="1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s="1" t="s">
        <v>20</v>
      </c>
      <c r="N219" t="s">
        <v>20</v>
      </c>
      <c r="O219" t="s">
        <v>20</v>
      </c>
      <c r="P219" t="s">
        <v>20</v>
      </c>
      <c r="Q219" t="s">
        <v>20</v>
      </c>
      <c r="R219" t="s">
        <v>20</v>
      </c>
      <c r="S219" t="s">
        <v>20</v>
      </c>
    </row>
    <row r="220" spans="1:19">
      <c r="A220" s="1" t="s">
        <v>239</v>
      </c>
      <c r="B220" t="s">
        <v>20</v>
      </c>
      <c r="C220" t="s">
        <v>20</v>
      </c>
      <c r="D220" t="s">
        <v>22</v>
      </c>
      <c r="E220" t="s">
        <v>22</v>
      </c>
      <c r="F220" t="s">
        <v>22</v>
      </c>
      <c r="G220" s="1" t="s">
        <v>22</v>
      </c>
      <c r="H220" t="s">
        <v>20</v>
      </c>
      <c r="I220" t="s">
        <v>20</v>
      </c>
      <c r="J220" t="s">
        <v>22</v>
      </c>
      <c r="K220" t="s">
        <v>22</v>
      </c>
      <c r="L220" t="s">
        <v>22</v>
      </c>
      <c r="M220" s="1" t="s">
        <v>22</v>
      </c>
      <c r="N220" t="s">
        <v>20</v>
      </c>
      <c r="O220" t="s">
        <v>20</v>
      </c>
      <c r="P220" t="s">
        <v>22</v>
      </c>
      <c r="Q220" t="s">
        <v>20</v>
      </c>
      <c r="R220" t="s">
        <v>22</v>
      </c>
      <c r="S220" t="s">
        <v>20</v>
      </c>
    </row>
    <row r="221" spans="1:19">
      <c r="A221" s="1" t="s">
        <v>240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s="1" t="s">
        <v>20</v>
      </c>
      <c r="H221" t="s">
        <v>20</v>
      </c>
      <c r="I221" t="s">
        <v>20</v>
      </c>
      <c r="J221" t="s">
        <v>20</v>
      </c>
      <c r="K221" t="s">
        <v>22</v>
      </c>
      <c r="L221" t="s">
        <v>20</v>
      </c>
      <c r="M221" s="1" t="s">
        <v>22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  <c r="S221" t="s">
        <v>20</v>
      </c>
    </row>
    <row r="222" spans="1:19">
      <c r="A222" s="1" t="s">
        <v>241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s="1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s="1" t="s">
        <v>20</v>
      </c>
      <c r="N222" t="s">
        <v>20</v>
      </c>
      <c r="O222" t="s">
        <v>20</v>
      </c>
      <c r="P222" t="s">
        <v>20</v>
      </c>
      <c r="Q222" t="s">
        <v>20</v>
      </c>
      <c r="R222" t="s">
        <v>20</v>
      </c>
      <c r="S222" t="s">
        <v>20</v>
      </c>
    </row>
    <row r="223" spans="1:19" s="3" customFormat="1">
      <c r="A223" s="2" t="s">
        <v>242</v>
      </c>
      <c r="B223" s="3" t="s">
        <v>20</v>
      </c>
      <c r="C223" s="3" t="s">
        <v>20</v>
      </c>
      <c r="D223" s="3" t="s">
        <v>20</v>
      </c>
      <c r="E223" s="3" t="s">
        <v>20</v>
      </c>
      <c r="F223" s="3" t="s">
        <v>20</v>
      </c>
      <c r="G223" s="2" t="s">
        <v>20</v>
      </c>
      <c r="H223" s="3" t="s">
        <v>20</v>
      </c>
      <c r="I223" s="3" t="s">
        <v>20</v>
      </c>
      <c r="J223" s="3" t="s">
        <v>20</v>
      </c>
      <c r="K223" s="3" t="s">
        <v>20</v>
      </c>
      <c r="L223" s="3" t="s">
        <v>20</v>
      </c>
      <c r="M223" s="2" t="s">
        <v>20</v>
      </c>
      <c r="N223" s="3" t="s">
        <v>20</v>
      </c>
      <c r="O223" s="3" t="s">
        <v>20</v>
      </c>
      <c r="P223" s="3" t="s">
        <v>20</v>
      </c>
      <c r="Q223" s="3" t="s">
        <v>20</v>
      </c>
      <c r="R223" s="3" t="s">
        <v>20</v>
      </c>
      <c r="S223" s="3" t="s">
        <v>20</v>
      </c>
    </row>
    <row r="224" spans="1:19">
      <c r="A224" t="s">
        <v>243</v>
      </c>
      <c r="B224" s="4" cm="1">
        <f t="array" aca="1" ref="B224" ca="1">SUM(COUNTIF(Final_evaluation!$B$2:'Final_evaluation'!$B$16, {"&lt;&gt;correct"}))</f>
        <v>9</v>
      </c>
      <c r="C224" s="4" cm="1">
        <f t="array" aca="1" ref="C224" ca="1">SUM(COUNTIF(Final_evaluation!$C$2:'Final_evaluation'!$C$16, {"&lt;&gt;correct"}))</f>
        <v>11</v>
      </c>
      <c r="D224" s="4" cm="1">
        <f t="array" aca="1" ref="D224" ca="1">SUM(COUNTIF(Final_evaluation!$D$2:'Final_evaluation'!$D$16, {"&lt;&gt;correct"}))</f>
        <v>9</v>
      </c>
      <c r="E224" s="4" cm="1">
        <f t="array" aca="1" ref="E224" ca="1">SUM(COUNTIF(Final_evaluation!$E$2:'Final_evaluation'!$E$16, {"&lt;&gt;correct"}))</f>
        <v>8</v>
      </c>
      <c r="F224" s="4" cm="1">
        <f t="array" aca="1" ref="F224" ca="1">SUM(COUNTIF(Final_evaluation!$F$2:'Final_evaluation'!$F$16, {"&lt;&gt;correct"}))</f>
        <v>8</v>
      </c>
      <c r="G224" s="4" cm="1">
        <f t="array" aca="1" ref="G224" ca="1">SUM(COUNTIF(Final_evaluation!$G$2:'Final_evaluation'!$G$16, {"&lt;&gt;correct"}))</f>
        <v>11</v>
      </c>
      <c r="H224" s="4" cm="1">
        <f t="array" aca="1" ref="H224" ca="1">SUM(COUNTIF(Final_evaluation!$H$2:'Final_evaluation'!$H$16, {"&lt;&gt;correct"}))</f>
        <v>5</v>
      </c>
      <c r="I224" s="4" cm="1">
        <f t="array" aca="1" ref="I224" ca="1">SUM(COUNTIF(Final_evaluation!$I$2:'Final_evaluation'!$I$16, {"&lt;&gt;correct"}))</f>
        <v>0</v>
      </c>
      <c r="J224" s="4" cm="1">
        <f t="array" aca="1" ref="J224" ca="1">SUM(COUNTIF(Final_evaluation!$J$2:'Final_evaluation'!$J$16, {"&lt;&gt;correct"}))</f>
        <v>0</v>
      </c>
      <c r="K224" s="4" cm="1">
        <f t="array" aca="1" ref="K224" ca="1">SUM(COUNTIF(Final_evaluation!$K$2:'Final_evaluation'!$K$16, {"&lt;&gt;correct"}))</f>
        <v>2</v>
      </c>
      <c r="L224" s="4" cm="1">
        <f t="array" aca="1" ref="L224" ca="1">SUM(COUNTIF(Final_evaluation!$L$2:'Final_evaluation'!$L$16, {"&lt;&gt;correct"}))</f>
        <v>2</v>
      </c>
      <c r="M224" s="4" cm="1">
        <f t="array" aca="1" ref="M224" ca="1">SUM(COUNTIF(Final_evaluation!$M$2:'Final_evaluation'!$M$16, {"&lt;&gt;correct"}))</f>
        <v>4</v>
      </c>
      <c r="N224" s="4" cm="1">
        <f t="array" aca="1" ref="N224" ca="1">SUM(COUNTIF(Final_evaluation!$N$2:'Final_evaluation'!$N$16, {"&lt;&gt;correct"}))</f>
        <v>3</v>
      </c>
      <c r="O224" s="4" cm="1">
        <f t="array" aca="1" ref="O224" ca="1">SUM(COUNTIF(Final_evaluation!$O$2:'Final_evaluation'!$O$16, {"&lt;&gt;correct"}))</f>
        <v>2</v>
      </c>
      <c r="P224" s="4" cm="1">
        <f t="array" aca="1" ref="P224" ca="1">SUM(COUNTIF(Final_evaluation!$P$2:'Final_evaluation'!$P$16, {"&lt;&gt;correct"}))</f>
        <v>3</v>
      </c>
      <c r="Q224" s="4" cm="1">
        <f t="array" aca="1" ref="Q224" ca="1">SUM(COUNTIF(Final_evaluation!$Q$2:'Final_evaluation'!$Q$16, {"&lt;&gt;correct"}))</f>
        <v>2</v>
      </c>
      <c r="R224" s="4" cm="1">
        <f t="array" aca="1" ref="R224" ca="1">SUM(COUNTIF(Final_evaluation!$R$2:'Final_evaluation'!$R$16, {"&lt;&gt;correct"}))</f>
        <v>3</v>
      </c>
      <c r="S224" s="4" cm="1">
        <f t="array" aca="1" ref="S224" ca="1">SUM(COUNTIF(Final_evaluation!$S$2:'Final_evaluation'!$S$16, {"&lt;&gt;correct"}))</f>
        <v>3</v>
      </c>
    </row>
    <row r="225" spans="1:22">
      <c r="A225" t="s">
        <v>244</v>
      </c>
      <c r="B225" s="4" cm="1">
        <f t="array" aca="1" ref="B225" ca="1">SUM(COUNTIF(Final_evaluation!$B$17:'Final_evaluation'!$B$31, {"&lt;&gt;correct"}))</f>
        <v>2</v>
      </c>
      <c r="C225" s="4" cm="1">
        <f t="array" aca="1" ref="C225" ca="1">SUM(COUNTIF(Final_evaluation!$C$17:'Final_evaluation'!$C$31, {"&lt;&gt;correct"}))</f>
        <v>1</v>
      </c>
      <c r="D225" s="4" cm="1">
        <f t="array" aca="1" ref="D225" ca="1">SUM(COUNTIF(Final_evaluation!$D$17:'Final_evaluation'!$D$31, {"&lt;&gt;correct"}))</f>
        <v>1</v>
      </c>
      <c r="E225" s="4" cm="1">
        <f t="array" aca="1" ref="E225" ca="1">SUM(COUNTIF(Final_evaluation!$E$17:'Final_evaluation'!$E$31, {"&lt;&gt;correct"}))</f>
        <v>1</v>
      </c>
      <c r="F225" s="4" cm="1">
        <f t="array" aca="1" ref="F225" ca="1">SUM(COUNTIF(Final_evaluation!$F$17:'Final_evaluation'!$F$31, {"&lt;&gt;correct"}))</f>
        <v>2</v>
      </c>
      <c r="G225" s="4" cm="1">
        <f t="array" aca="1" ref="G225" ca="1">SUM(COUNTIF(Final_evaluation!$G$17:'Final_evaluation'!$G$31, {"&lt;&gt;correct"}))</f>
        <v>1</v>
      </c>
      <c r="H225" s="4" cm="1">
        <f t="array" aca="1" ref="H225" ca="1">SUM(COUNTIF(Final_evaluation!$H$17:'Final_evaluation'!$H$31, {"&lt;&gt;correct"}))</f>
        <v>3</v>
      </c>
      <c r="I225" s="4" cm="1">
        <f t="array" aca="1" ref="I225" ca="1">SUM(COUNTIF(Final_evaluation!$I$17:'Final_evaluation'!$I$31, {"&lt;&gt;correct"}))</f>
        <v>2</v>
      </c>
      <c r="J225" s="4" cm="1">
        <f t="array" aca="1" ref="J225" ca="1">SUM(COUNTIF(Final_evaluation!$J$17:'Final_evaluation'!$J$31, {"&lt;&gt;correct"}))</f>
        <v>3</v>
      </c>
      <c r="K225" s="4" cm="1">
        <f t="array" aca="1" ref="K225" ca="1">SUM(COUNTIF(Final_evaluation!$K$17:'Final_evaluation'!$K$31, {"&lt;&gt;correct"}))</f>
        <v>3</v>
      </c>
      <c r="L225" s="4" cm="1">
        <f t="array" aca="1" ref="L225" ca="1">SUM(COUNTIF(Final_evaluation!$L$17:'Final_evaluation'!$L$31, {"&lt;&gt;correct"}))</f>
        <v>3</v>
      </c>
      <c r="M225" s="4" cm="1">
        <f t="array" aca="1" ref="M225" ca="1">SUM(COUNTIF(Final_evaluation!$M$17:'Final_evaluation'!$M$31, {"&lt;&gt;correct"}))</f>
        <v>2</v>
      </c>
      <c r="N225" s="4" cm="1">
        <f t="array" aca="1" ref="N225" ca="1">SUM(COUNTIF(Final_evaluation!$N$17:'Final_evaluation'!$N$31, {"&lt;&gt;correct"}))</f>
        <v>2</v>
      </c>
      <c r="O225" s="4" cm="1">
        <f t="array" aca="1" ref="O225" ca="1">SUM(COUNTIF(Final_evaluation!$O$17:'Final_evaluation'!$O$31, {"&lt;&gt;correct"}))</f>
        <v>3</v>
      </c>
      <c r="P225" s="4" cm="1">
        <f t="array" aca="1" ref="P225" ca="1">SUM(COUNTIF(Final_evaluation!$P$17:'Final_evaluation'!$P$31, {"&lt;&gt;correct"}))</f>
        <v>2</v>
      </c>
      <c r="Q225" s="4" cm="1">
        <f t="array" aca="1" ref="Q225" ca="1">SUM(COUNTIF(Final_evaluation!$Q$17:'Final_evaluation'!$Q$31, {"&lt;&gt;correct"}))</f>
        <v>2</v>
      </c>
      <c r="R225" s="4" cm="1">
        <f t="array" aca="1" ref="R225" ca="1">SUM(COUNTIF(Final_evaluation!$R$17:'Final_evaluation'!$R$31, {"&lt;&gt;correct"}))</f>
        <v>3</v>
      </c>
      <c r="S225" s="4" cm="1">
        <f t="array" aca="1" ref="S225" ca="1">SUM(COUNTIF(Final_evaluation!$S$17:'Final_evaluation'!$S$31, {"&lt;&gt;correct"}))</f>
        <v>2</v>
      </c>
    </row>
    <row r="226" spans="1:22">
      <c r="A226" t="s">
        <v>245</v>
      </c>
      <c r="B226" s="4" cm="1">
        <f t="array" aca="1" ref="B226" ca="1">SUM(COUNTIF(Final_evaluation!$B$32:'Final_evaluation'!$B$46, {"&lt;&gt;correct"}))</f>
        <v>10</v>
      </c>
      <c r="C226" s="4" cm="1">
        <f t="array" aca="1" ref="C226" ca="1">SUM(COUNTIF(Final_evaluation!$C$32:'Final_evaluation'!$C$46, {"&lt;&gt;correct"}))</f>
        <v>10</v>
      </c>
      <c r="D226" s="4" cm="1">
        <f t="array" aca="1" ref="D226" ca="1">SUM(COUNTIF(Final_evaluation!$D$32:'Final_evaluation'!$D$46, {"&lt;&gt;correct"}))</f>
        <v>7</v>
      </c>
      <c r="E226" s="4" cm="1">
        <f t="array" aca="1" ref="E226" ca="1">SUM(COUNTIF(Final_evaluation!$E$32:'Final_evaluation'!$E$46, {"&lt;&gt;correct"}))</f>
        <v>9</v>
      </c>
      <c r="F226" s="4" cm="1">
        <f t="array" aca="1" ref="F226" ca="1">SUM(COUNTIF(Final_evaluation!$F$32:'Final_evaluation'!$F$46, {"&lt;&gt;correct"}))</f>
        <v>5</v>
      </c>
      <c r="G226" s="4" cm="1">
        <f t="array" aca="1" ref="G226" ca="1">SUM(COUNTIF(Final_evaluation!$G$32:'Final_evaluation'!$G$46, {"&lt;&gt;correct"}))</f>
        <v>8</v>
      </c>
      <c r="H226" s="4" cm="1">
        <f t="array" aca="1" ref="H226" ca="1">SUM(COUNTIF(Final_evaluation!$H$32:'Final_evaluation'!$H$46, {"&lt;&gt;correct"}))</f>
        <v>5</v>
      </c>
      <c r="I226" s="4" cm="1">
        <f t="array" aca="1" ref="I226" ca="1">SUM(COUNTIF(Final_evaluation!$I$32:'Final_evaluation'!$I$46, {"&lt;&gt;correct"}))</f>
        <v>5</v>
      </c>
      <c r="J226" s="4" cm="1">
        <f t="array" aca="1" ref="J226" ca="1">SUM(COUNTIF(Final_evaluation!$J$32:'Final_evaluation'!$J$46, {"&lt;&gt;correct"}))</f>
        <v>5</v>
      </c>
      <c r="K226" s="4" cm="1">
        <f t="array" aca="1" ref="K226" ca="1">SUM(COUNTIF(Final_evaluation!$K$32:'Final_evaluation'!$K$46, {"&lt;&gt;correct"}))</f>
        <v>4</v>
      </c>
      <c r="L226" s="4" cm="1">
        <f t="array" aca="1" ref="L226" ca="1">SUM(COUNTIF(Final_evaluation!$L$32:'Final_evaluation'!$L$46, {"&lt;&gt;correct"}))</f>
        <v>3</v>
      </c>
      <c r="M226" s="4" cm="1">
        <f t="array" aca="1" ref="M226" ca="1">SUM(COUNTIF(Final_evaluation!$M$32:'Final_evaluation'!$M$46, {"&lt;&gt;correct"}))</f>
        <v>6</v>
      </c>
      <c r="N226" s="4" cm="1">
        <f t="array" aca="1" ref="N226" ca="1">SUM(COUNTIF(Final_evaluation!$N$32:'Final_evaluation'!$N$46, {"&lt;&gt;correct"}))</f>
        <v>3</v>
      </c>
      <c r="O226" s="4" cm="1">
        <f t="array" aca="1" ref="O226" ca="1">SUM(COUNTIF(Final_evaluation!$O$32:'Final_evaluation'!$O$46, {"&lt;&gt;correct"}))</f>
        <v>5</v>
      </c>
      <c r="P226" s="4" cm="1">
        <f t="array" aca="1" ref="P226" ca="1">SUM(COUNTIF(Final_evaluation!$P$32:'Final_evaluation'!$P$46, {"&lt;&gt;correct"}))</f>
        <v>4</v>
      </c>
      <c r="Q226" s="4" cm="1">
        <f t="array" aca="1" ref="Q226" ca="1">SUM(COUNTIF(Final_evaluation!$Q$32:'Final_evaluation'!$Q$46, {"&lt;&gt;correct"}))</f>
        <v>4</v>
      </c>
      <c r="R226" s="4" cm="1">
        <f t="array" aca="1" ref="R226" ca="1">SUM(COUNTIF(Final_evaluation!$R$32:'Final_evaluation'!$R$46, {"&lt;&gt;correct"}))</f>
        <v>5</v>
      </c>
      <c r="S226" s="4" cm="1">
        <f t="array" aca="1" ref="S226" ca="1">SUM(COUNTIF(Final_evaluation!$S$32:'Final_evaluation'!$S$46, {"&lt;&gt;correct"}))</f>
        <v>4</v>
      </c>
    </row>
    <row r="227" spans="1:22">
      <c r="A227" t="s">
        <v>246</v>
      </c>
      <c r="B227" s="4" cm="1">
        <f t="array" aca="1" ref="B227" ca="1">SUM(COUNTIF(Final_evaluation!$B$47:'Final_evaluation'!$B$61, {"&lt;&gt;correct"}))</f>
        <v>4</v>
      </c>
      <c r="C227" s="4" cm="1">
        <f t="array" aca="1" ref="C227" ca="1">SUM(COUNTIF(Final_evaluation!$C$47:'Final_evaluation'!$C$61, {"&lt;&gt;correct"}))</f>
        <v>2</v>
      </c>
      <c r="D227" s="4" cm="1">
        <f t="array" aca="1" ref="D227" ca="1">SUM(COUNTIF(Final_evaluation!$D$47:'Final_evaluation'!$D$61, {"&lt;&gt;correct"}))</f>
        <v>2</v>
      </c>
      <c r="E227" s="4" cm="1">
        <f t="array" aca="1" ref="E227" ca="1">SUM(COUNTIF(Final_evaluation!$E$47:'Final_evaluation'!$E$61, {"&lt;&gt;correct"}))</f>
        <v>4</v>
      </c>
      <c r="F227" s="4" cm="1">
        <f t="array" aca="1" ref="F227" ca="1">SUM(COUNTIF(Final_evaluation!$F$47:'Final_evaluation'!$F$61, {"&lt;&gt;correct"}))</f>
        <v>5</v>
      </c>
      <c r="G227" s="4" cm="1">
        <f t="array" aca="1" ref="G227" ca="1">SUM(COUNTIF(Final_evaluation!$G$47:'Final_evaluation'!$G$61, {"&lt;&gt;correct"}))</f>
        <v>2</v>
      </c>
      <c r="H227" s="4" cm="1">
        <f t="array" aca="1" ref="H227" ca="1">SUM(COUNTIF(Final_evaluation!$H$47:'Final_evaluation'!$H$61, {"&lt;&gt;correct"}))</f>
        <v>9</v>
      </c>
      <c r="I227" s="4" cm="1">
        <f t="array" aca="1" ref="I227" ca="1">SUM(COUNTIF(Final_evaluation!$I$47:'Final_evaluation'!$I$61, {"&lt;&gt;correct"}))</f>
        <v>7</v>
      </c>
      <c r="J227" s="4" cm="1">
        <f t="array" aca="1" ref="J227" ca="1">SUM(COUNTIF(Final_evaluation!$J$47:'Final_evaluation'!$J$61, {"&lt;&gt;correct"}))</f>
        <v>10</v>
      </c>
      <c r="K227" s="4" cm="1">
        <f t="array" aca="1" ref="K227" ca="1">SUM(COUNTIF(Final_evaluation!$K$47:'Final_evaluation'!$K$61, {"&lt;&gt;correct"}))</f>
        <v>11</v>
      </c>
      <c r="L227" s="4" cm="1">
        <f t="array" aca="1" ref="L227" ca="1">SUM(COUNTIF(Final_evaluation!$L$47:'Final_evaluation'!$L$61, {"&lt;&gt;correct"}))</f>
        <v>11</v>
      </c>
      <c r="M227" s="4" cm="1">
        <f t="array" aca="1" ref="M227" ca="1">SUM(COUNTIF(Final_evaluation!$M$47:'Final_evaluation'!$M$61, {"&lt;&gt;correct"}))</f>
        <v>6</v>
      </c>
      <c r="N227" s="4" cm="1">
        <f t="array" aca="1" ref="N227" ca="1">SUM(COUNTIF(Final_evaluation!$N$47:'Final_evaluation'!$N$61, {"&lt;&gt;correct"}))</f>
        <v>5</v>
      </c>
      <c r="O227" s="4" cm="1">
        <f t="array" aca="1" ref="O227" ca="1">SUM(COUNTIF(Final_evaluation!$O$47:'Final_evaluation'!$O$61, {"&lt;&gt;correct"}))</f>
        <v>3</v>
      </c>
      <c r="P227" s="4" cm="1">
        <f t="array" aca="1" ref="P227" ca="1">SUM(COUNTIF(Final_evaluation!$P$47:'Final_evaluation'!$P$61, {"&lt;&gt;correct"}))</f>
        <v>3</v>
      </c>
      <c r="Q227" s="4" cm="1">
        <f t="array" aca="1" ref="Q227" ca="1">SUM(COUNTIF(Final_evaluation!$Q$47:'Final_evaluation'!$Q$61, {"&lt;&gt;correct"}))</f>
        <v>4</v>
      </c>
      <c r="R227" s="4" cm="1">
        <f t="array" aca="1" ref="R227" ca="1">SUM(COUNTIF(Final_evaluation!$R$47:'Final_evaluation'!$R$61, {"&lt;&gt;correct"}))</f>
        <v>5</v>
      </c>
      <c r="S227" s="4" cm="1">
        <f t="array" aca="1" ref="S227" ca="1">SUM(COUNTIF(Final_evaluation!$S$47:'Final_evaluation'!$S$61, {"&lt;&gt;correct"}))</f>
        <v>4</v>
      </c>
    </row>
    <row r="228" spans="1:22">
      <c r="A228" t="s">
        <v>247</v>
      </c>
      <c r="B228" s="4" cm="1">
        <f t="array" aca="1" ref="B228" ca="1">SUM(COUNTIF(Final_evaluation!$B$62:'Final_evaluation'!$B$76, {"&lt;&gt;correct"}))</f>
        <v>5</v>
      </c>
      <c r="C228" s="4" cm="1">
        <f t="array" aca="1" ref="C228" ca="1">SUM(COUNTIF(Final_evaluation!$C$62:'Final_evaluation'!$C$76, {"&lt;&gt;correct"}))</f>
        <v>4</v>
      </c>
      <c r="D228" s="4" cm="1">
        <f t="array" aca="1" ref="D228" ca="1">SUM(COUNTIF(Final_evaluation!$D$62:'Final_evaluation'!$D$76, {"&lt;&gt;correct"}))</f>
        <v>3</v>
      </c>
      <c r="E228" s="4" cm="1">
        <f t="array" aca="1" ref="E228" ca="1">SUM(COUNTIF(Final_evaluation!$E$62:'Final_evaluation'!$E$76, {"&lt;&gt;correct"}))</f>
        <v>5</v>
      </c>
      <c r="F228" s="4" cm="1">
        <f t="array" aca="1" ref="F228" ca="1">SUM(COUNTIF(Final_evaluation!$F$62:'Final_evaluation'!$F$76, {"&lt;&gt;correct"}))</f>
        <v>3</v>
      </c>
      <c r="G228" s="4" cm="1">
        <f t="array" aca="1" ref="G228" ca="1">SUM(COUNTIF(Final_evaluation!$G$62:'Final_evaluation'!$G$76, {"&lt;&gt;correct"}))</f>
        <v>4</v>
      </c>
      <c r="H228" s="4" cm="1">
        <f t="array" aca="1" ref="H228" ca="1">SUM(COUNTIF(Final_evaluation!$H$62:'Final_evaluation'!$H$76, {"&lt;&gt;correct"}))</f>
        <v>2</v>
      </c>
      <c r="I228" s="4" cm="1">
        <f t="array" aca="1" ref="I228" ca="1">SUM(COUNTIF(Final_evaluation!$I$62:'Final_evaluation'!$I$76, {"&lt;&gt;correct"}))</f>
        <v>1</v>
      </c>
      <c r="J228" s="4" cm="1">
        <f t="array" aca="1" ref="J228" ca="1">SUM(COUNTIF(Final_evaluation!$J$62:'Final_evaluation'!$J$76, {"&lt;&gt;correct"}))</f>
        <v>1</v>
      </c>
      <c r="K228" s="4" cm="1">
        <f t="array" aca="1" ref="K228" ca="1">SUM(COUNTIF(Final_evaluation!$K$62:'Final_evaluation'!$K$76, {"&lt;&gt;correct"}))</f>
        <v>2</v>
      </c>
      <c r="L228" s="4" cm="1">
        <f t="array" aca="1" ref="L228" ca="1">SUM(COUNTIF(Final_evaluation!$L$62:'Final_evaluation'!$L$76, {"&lt;&gt;correct"}))</f>
        <v>1</v>
      </c>
      <c r="M228" s="4" cm="1">
        <f t="array" aca="1" ref="M228" ca="1">SUM(COUNTIF(Final_evaluation!$M$62:'Final_evaluation'!$M$76, {"&lt;&gt;correct"}))</f>
        <v>2</v>
      </c>
      <c r="N228" s="4" cm="1">
        <f t="array" aca="1" ref="N228" ca="1">SUM(COUNTIF(Final_evaluation!$N$62:'Final_evaluation'!$N$76, {"&lt;&gt;correct"}))</f>
        <v>2</v>
      </c>
      <c r="O228" s="4" cm="1">
        <f t="array" aca="1" ref="O228" ca="1">SUM(COUNTIF(Final_evaluation!$O$62:'Final_evaluation'!$O$76, {"&lt;&gt;correct"}))</f>
        <v>3</v>
      </c>
      <c r="P228" s="4" cm="1">
        <f t="array" aca="1" ref="P228" ca="1">SUM(COUNTIF(Final_evaluation!$P$62:'Final_evaluation'!$P$76, {"&lt;&gt;correct"}))</f>
        <v>1</v>
      </c>
      <c r="Q228" s="4" cm="1">
        <f t="array" aca="1" ref="Q228" ca="1">SUM(COUNTIF(Final_evaluation!$Q$62:'Final_evaluation'!$Q$76, {"&lt;&gt;correct"}))</f>
        <v>1</v>
      </c>
      <c r="R228" s="4" cm="1">
        <f t="array" aca="1" ref="R228" ca="1">SUM(COUNTIF(Final_evaluation!$R$62:'Final_evaluation'!$R$76, {"&lt;&gt;correct"}))</f>
        <v>0</v>
      </c>
      <c r="S228" s="4" cm="1">
        <f t="array" aca="1" ref="S228" ca="1">SUM(COUNTIF(Final_evaluation!$S$62:'Final_evaluation'!$S$76, {"&lt;&gt;correct"}))</f>
        <v>3</v>
      </c>
    </row>
    <row r="229" spans="1:22">
      <c r="A229" t="s">
        <v>248</v>
      </c>
      <c r="B229" s="4" cm="1">
        <f t="array" aca="1" ref="B229" ca="1">SUM(COUNTIF(Final_evaluation!$B$77:'Final_evaluation'!$B$91, {"&lt;&gt;correct"}))</f>
        <v>5</v>
      </c>
      <c r="C229" s="4" cm="1">
        <f t="array" aca="1" ref="C229" ca="1">SUM(COUNTIF(Final_evaluation!$C$77:'Final_evaluation'!$C$91, {"&lt;&gt;correct"}))</f>
        <v>0</v>
      </c>
      <c r="D229" s="4" cm="1">
        <f t="array" aca="1" ref="D229" ca="1">SUM(COUNTIF(Final_evaluation!$D$77:'Final_evaluation'!$D$91, {"&lt;&gt;correct"}))</f>
        <v>0</v>
      </c>
      <c r="E229" s="4" cm="1">
        <f t="array" aca="1" ref="E229" ca="1">SUM(COUNTIF(Final_evaluation!$E$77:'Final_evaluation'!$E$91, {"&lt;&gt;correct"}))</f>
        <v>0</v>
      </c>
      <c r="F229" s="4" cm="1">
        <f t="array" aca="1" ref="F229" ca="1">SUM(COUNTIF(Final_evaluation!$F$77:'Final_evaluation'!$F$91, {"&lt;&gt;correct"}))</f>
        <v>2</v>
      </c>
      <c r="G229" s="4" cm="1">
        <f t="array" aca="1" ref="G229" ca="1">SUM(COUNTIF(Final_evaluation!$G$77:'Final_evaluation'!$G$91, {"&lt;&gt;correct"}))</f>
        <v>2</v>
      </c>
      <c r="H229" s="4" cm="1">
        <f t="array" aca="1" ref="H229" ca="1">SUM(COUNTIF(Final_evaluation!$H$77:'Final_evaluation'!$H$91, {"&lt;&gt;correct"}))</f>
        <v>6</v>
      </c>
      <c r="I229" s="4" cm="1">
        <f t="array" aca="1" ref="I229" ca="1">SUM(COUNTIF(Final_evaluation!$I$77:'Final_evaluation'!$I$91, {"&lt;&gt;correct"}))</f>
        <v>4</v>
      </c>
      <c r="J229" s="4" cm="1">
        <f t="array" aca="1" ref="J229" ca="1">SUM(COUNTIF(Final_evaluation!$J$77:'Final_evaluation'!$J$91, {"&lt;&gt;correct"}))</f>
        <v>4</v>
      </c>
      <c r="K229" s="4" cm="1">
        <f t="array" aca="1" ref="K229" ca="1">SUM(COUNTIF(Final_evaluation!$K$77:'Final_evaluation'!$K$91, {"&lt;&gt;correct"}))</f>
        <v>3</v>
      </c>
      <c r="L229" s="4" cm="1">
        <f t="array" aca="1" ref="L229" ca="1">SUM(COUNTIF(Final_evaluation!$L$77:'Final_evaluation'!$L$91, {"&lt;&gt;correct"}))</f>
        <v>3</v>
      </c>
      <c r="M229" s="4" cm="1">
        <f t="array" aca="1" ref="M229" ca="1">SUM(COUNTIF(Final_evaluation!$M$77:'Final_evaluation'!$M$91, {"&lt;&gt;correct"}))</f>
        <v>4</v>
      </c>
      <c r="N229" s="4" cm="1">
        <f t="array" aca="1" ref="N229" ca="1">SUM(COUNTIF(Final_evaluation!$N$77:'Final_evaluation'!$N$91, {"&lt;&gt;correct"}))</f>
        <v>3</v>
      </c>
      <c r="O229" s="4" cm="1">
        <f t="array" aca="1" ref="O229" ca="1">SUM(COUNTIF(Final_evaluation!$O$77:'Final_evaluation'!$O$91, {"&lt;&gt;correct"}))</f>
        <v>1</v>
      </c>
      <c r="P229" s="4" cm="1">
        <f t="array" aca="1" ref="P229" ca="1">SUM(COUNTIF(Final_evaluation!$P$77:'Final_evaluation'!$P$91, {"&lt;&gt;correct"}))</f>
        <v>1</v>
      </c>
      <c r="Q229" s="4" cm="1">
        <f t="array" aca="1" ref="Q229" ca="1">SUM(COUNTIF(Final_evaluation!$Q$77:'Final_evaluation'!$Q$91, {"&lt;&gt;correct"}))</f>
        <v>1</v>
      </c>
      <c r="R229" s="4" cm="1">
        <f t="array" aca="1" ref="R229" ca="1">SUM(COUNTIF(Final_evaluation!$R$77:'Final_evaluation'!$R$91, {"&lt;&gt;correct"}))</f>
        <v>1</v>
      </c>
      <c r="S229" s="4" cm="1">
        <f t="array" aca="1" ref="S229" ca="1">SUM(COUNTIF(Final_evaluation!$S$77:'Final_evaluation'!$S$91, {"&lt;&gt;correct"}))</f>
        <v>0</v>
      </c>
    </row>
    <row r="230" spans="1:22">
      <c r="A230" t="s">
        <v>249</v>
      </c>
      <c r="B230" s="4" cm="1">
        <f t="array" aca="1" ref="B230" ca="1">SUM(COUNTIF(Final_evaluation!$B$92:'Final_evaluation'!$B$106, {"&lt;&gt;correct"}))</f>
        <v>7</v>
      </c>
      <c r="C230" s="4" cm="1">
        <f t="array" aca="1" ref="C230" ca="1">SUM(COUNTIF(Final_evaluation!$C$92:'Final_evaluation'!$C$106, {"&lt;&gt;correct"}))</f>
        <v>3</v>
      </c>
      <c r="D230" s="4" cm="1">
        <f t="array" aca="1" ref="D230" ca="1">SUM(COUNTIF(Final_evaluation!$D$92:'Final_evaluation'!$D$106, {"&lt;&gt;correct"}))</f>
        <v>4</v>
      </c>
      <c r="E230" s="4" cm="1">
        <f t="array" aca="1" ref="E230" ca="1">SUM(COUNTIF(Final_evaluation!$E$92:'Final_evaluation'!$E$106, {"&lt;&gt;correct"}))</f>
        <v>3</v>
      </c>
      <c r="F230" s="4" cm="1">
        <f t="array" aca="1" ref="F230" ca="1">SUM(COUNTIF(Final_evaluation!$F$92:'Final_evaluation'!$F$106, {"&lt;&gt;correct"}))</f>
        <v>2</v>
      </c>
      <c r="G230" s="4" cm="1">
        <f t="array" aca="1" ref="G230" ca="1">SUM(COUNTIF(Final_evaluation!$G$92:'Final_evaluation'!$G$106, {"&lt;&gt;correct"}))</f>
        <v>4</v>
      </c>
      <c r="H230" s="4" cm="1">
        <f t="array" aca="1" ref="H230" ca="1">SUM(COUNTIF(Final_evaluation!$H$92:'Final_evaluation'!$H$106, {"&lt;&gt;correct"}))</f>
        <v>5</v>
      </c>
      <c r="I230" s="4" cm="1">
        <f t="array" aca="1" ref="I230" ca="1">SUM(COUNTIF(Final_evaluation!$I$92:'Final_evaluation'!$I$106, {"&lt;&gt;correct"}))</f>
        <v>2</v>
      </c>
      <c r="J230" s="4" cm="1">
        <f t="array" aca="1" ref="J230" ca="1">SUM(COUNTIF(Final_evaluation!$J$92:'Final_evaluation'!$J$106, {"&lt;&gt;correct"}))</f>
        <v>2</v>
      </c>
      <c r="K230" s="4" cm="1">
        <f t="array" aca="1" ref="K230" ca="1">SUM(COUNTIF(Final_evaluation!$K$92:'Final_evaluation'!$K$106, {"&lt;&gt;correct"}))</f>
        <v>3</v>
      </c>
      <c r="L230" s="4" cm="1">
        <f t="array" aca="1" ref="L230" ca="1">SUM(COUNTIF(Final_evaluation!$L$92:'Final_evaluation'!$L$106, {"&lt;&gt;correct"}))</f>
        <v>3</v>
      </c>
      <c r="M230" s="4" cm="1">
        <f t="array" aca="1" ref="M230" ca="1">SUM(COUNTIF(Final_evaluation!$M$92:'Final_evaluation'!$M$106, {"&lt;&gt;correct"}))</f>
        <v>6</v>
      </c>
      <c r="N230" s="4" cm="1">
        <f t="array" aca="1" ref="N230" ca="1">SUM(COUNTIF(Final_evaluation!$N$92:'Final_evaluation'!$N$106, {"&lt;&gt;correct"}))</f>
        <v>5</v>
      </c>
      <c r="O230" s="4" cm="1">
        <f t="array" aca="1" ref="O230" ca="1">SUM(COUNTIF(Final_evaluation!$O$92:'Final_evaluation'!$O$106, {"&lt;&gt;correct"}))</f>
        <v>2</v>
      </c>
      <c r="P230" s="4" cm="1">
        <f t="array" aca="1" ref="P230" ca="1">SUM(COUNTIF(Final_evaluation!$P$92:'Final_evaluation'!$P$106, {"&lt;&gt;correct"}))</f>
        <v>2</v>
      </c>
      <c r="Q230" s="4" cm="1">
        <f t="array" aca="1" ref="Q230" ca="1">SUM(COUNTIF(Final_evaluation!$Q$92:'Final_evaluation'!$Q$106, {"&lt;&gt;correct"}))</f>
        <v>2</v>
      </c>
      <c r="R230" s="4" cm="1">
        <f t="array" aca="1" ref="R230" ca="1">SUM(COUNTIF(Final_evaluation!$R$92:'Final_evaluation'!$R$106, {"&lt;&gt;correct"}))</f>
        <v>3</v>
      </c>
      <c r="S230" s="4" cm="1">
        <f t="array" aca="1" ref="S230" ca="1">SUM(COUNTIF(Final_evaluation!$S$92:'Final_evaluation'!$S$106, {"&lt;&gt;correct"}))</f>
        <v>1</v>
      </c>
    </row>
    <row r="231" spans="1:22">
      <c r="A231" t="s">
        <v>250</v>
      </c>
      <c r="B231" s="4" cm="1">
        <f t="array" aca="1" ref="B231" ca="1">SUM(COUNTIF(Final_evaluation!$B$107:'Final_evaluation'!$B$121, {"&lt;&gt;correct"}))</f>
        <v>3</v>
      </c>
      <c r="C231" s="4" cm="1">
        <f t="array" aca="1" ref="C231" ca="1">SUM(COUNTIF(Final_evaluation!$C$107:'Final_evaluation'!$C$121, {"&lt;&gt;correct"}))</f>
        <v>1</v>
      </c>
      <c r="D231" s="4" cm="1">
        <f t="array" aca="1" ref="D231" ca="1">SUM(COUNTIF(Final_evaluation!$D$107:'Final_evaluation'!$D$121, {"&lt;&gt;correct"}))</f>
        <v>3</v>
      </c>
      <c r="E231" s="4" cm="1">
        <f t="array" aca="1" ref="E231" ca="1">SUM(COUNTIF(Final_evaluation!$E$107:'Final_evaluation'!$E$121, {"&lt;&gt;correct"}))</f>
        <v>1</v>
      </c>
      <c r="F231" s="4" cm="1">
        <f t="array" aca="1" ref="F231" ca="1">SUM(COUNTIF(Final_evaluation!$F$107:'Final_evaluation'!$F$121, {"&lt;&gt;correct"}))</f>
        <v>4</v>
      </c>
      <c r="G231" s="4" cm="1">
        <f t="array" aca="1" ref="G231" ca="1">SUM(COUNTIF(Final_evaluation!$G$107:'Final_evaluation'!$G$121, {"&lt;&gt;correct"}))</f>
        <v>2</v>
      </c>
      <c r="H231" s="4" cm="1">
        <f t="array" aca="1" ref="H231" ca="1">SUM(COUNTIF(Final_evaluation!$H$107:'Final_evaluation'!$H$121, {"&lt;&gt;correct"}))</f>
        <v>5</v>
      </c>
      <c r="I231" s="4" cm="1">
        <f t="array" aca="1" ref="I231" ca="1">SUM(COUNTIF(Final_evaluation!$I$107:'Final_evaluation'!$I$121, {"&lt;&gt;correct"}))</f>
        <v>5</v>
      </c>
      <c r="J231" s="4" cm="1">
        <f t="array" aca="1" ref="J231" ca="1">SUM(COUNTIF(Final_evaluation!$J$107:'Final_evaluation'!$J$121, {"&lt;&gt;correct"}))</f>
        <v>4</v>
      </c>
      <c r="K231" s="4" cm="1">
        <f t="array" aca="1" ref="K231" ca="1">SUM(COUNTIF(Final_evaluation!$K$107:'Final_evaluation'!$K$121, {"&lt;&gt;correct"}))</f>
        <v>6</v>
      </c>
      <c r="L231" s="4" cm="1">
        <f t="array" aca="1" ref="L231" ca="1">SUM(COUNTIF(Final_evaluation!$L$107:'Final_evaluation'!$L$121, {"&lt;&gt;correct"}))</f>
        <v>6</v>
      </c>
      <c r="M231" s="4" cm="1">
        <f t="array" aca="1" ref="M231" ca="1">SUM(COUNTIF(Final_evaluation!$M$107:'Final_evaluation'!$M$121, {"&lt;&gt;correct"}))</f>
        <v>5</v>
      </c>
      <c r="N231" s="4" cm="1">
        <f t="array" aca="1" ref="N231" ca="1">SUM(COUNTIF(Final_evaluation!$N$107:'Final_evaluation'!$N$121, {"&lt;&gt;correct"}))</f>
        <v>8</v>
      </c>
      <c r="O231" s="4" cm="1">
        <f t="array" aca="1" ref="O231" ca="1">SUM(COUNTIF(Final_evaluation!$O$107:'Final_evaluation'!$O$121, {"&lt;&gt;correct"}))</f>
        <v>5</v>
      </c>
      <c r="P231" s="4" cm="1">
        <f t="array" aca="1" ref="P231" ca="1">SUM(COUNTIF(Final_evaluation!$P$107:'Final_evaluation'!$P$121, {"&lt;&gt;correct"}))</f>
        <v>4</v>
      </c>
      <c r="Q231" s="4" cm="1">
        <f t="array" aca="1" ref="Q231" ca="1">SUM(COUNTIF(Final_evaluation!$Q$107:'Final_evaluation'!$Q$121, {"&lt;&gt;correct"}))</f>
        <v>4</v>
      </c>
      <c r="R231" s="4" cm="1">
        <f t="array" aca="1" ref="R231" ca="1">SUM(COUNTIF(Final_evaluation!$R$107:'Final_evaluation'!$R$121, {"&lt;&gt;correct"}))</f>
        <v>7</v>
      </c>
      <c r="S231" s="4" cm="1">
        <f t="array" aca="1" ref="S231" ca="1">SUM(COUNTIF(Final_evaluation!$S$107:'Final_evaluation'!$S$121, {"&lt;&gt;correct"}))</f>
        <v>3</v>
      </c>
    </row>
    <row r="232" spans="1:22">
      <c r="A232" t="s">
        <v>251</v>
      </c>
      <c r="B232" s="4" cm="1">
        <f t="array" aca="1" ref="B232" ca="1">SUM(COUNTIF(Final_evaluation!$B$122:'Final_evaluation'!$B$136, {"&lt;&gt;correct"}))</f>
        <v>7</v>
      </c>
      <c r="C232" s="4" cm="1">
        <f t="array" aca="1" ref="C232" ca="1">SUM(COUNTIF(Final_evaluation!$C$122:'Final_evaluation'!$C$136, {"&lt;&gt;correct"}))</f>
        <v>10</v>
      </c>
      <c r="D232" s="4" cm="1">
        <f t="array" aca="1" ref="D232" ca="1">SUM(COUNTIF(Final_evaluation!$D$122:'Final_evaluation'!$D$136, {"&lt;&gt;correct"}))</f>
        <v>8</v>
      </c>
      <c r="E232" s="4" cm="1">
        <f t="array" aca="1" ref="E232" ca="1">SUM(COUNTIF(Final_evaluation!$E$122:'Final_evaluation'!$E$136, {"&lt;&gt;correct"}))</f>
        <v>10</v>
      </c>
      <c r="F232" s="4" cm="1">
        <f t="array" aca="1" ref="F232" ca="1">SUM(COUNTIF(Final_evaluation!$F$122:'Final_evaluation'!$F$136, {"&lt;&gt;correct"}))</f>
        <v>8</v>
      </c>
      <c r="G232" s="4" cm="1">
        <f t="array" aca="1" ref="G232" ca="1">SUM(COUNTIF(Final_evaluation!$G$122:'Final_evaluation'!$G$136, {"&lt;&gt;correct"}))</f>
        <v>9</v>
      </c>
      <c r="H232" s="4" cm="1">
        <f t="array" aca="1" ref="H232" ca="1">SUM(COUNTIF(Final_evaluation!$H$122:'Final_evaluation'!$H$136, {"&lt;&gt;correct"}))</f>
        <v>5</v>
      </c>
      <c r="I232" s="4" cm="1">
        <f t="array" aca="1" ref="I232" ca="1">SUM(COUNTIF(Final_evaluation!$I$122:'Final_evaluation'!$I$136, {"&lt;&gt;correct"}))</f>
        <v>2</v>
      </c>
      <c r="J232" s="4" cm="1">
        <f t="array" aca="1" ref="J232" ca="1">SUM(COUNTIF(Final_evaluation!$J$122:'Final_evaluation'!$J$136, {"&lt;&gt;correct"}))</f>
        <v>2</v>
      </c>
      <c r="K232" s="4" cm="1">
        <f t="array" aca="1" ref="K232" ca="1">SUM(COUNTIF(Final_evaluation!$K$122:'Final_evaluation'!$K$136, {"&lt;&gt;correct"}))</f>
        <v>3</v>
      </c>
      <c r="L232" s="4" cm="1">
        <f t="array" aca="1" ref="L232" ca="1">SUM(COUNTIF(Final_evaluation!$L$122:'Final_evaluation'!$L$136, {"&lt;&gt;correct"}))</f>
        <v>2</v>
      </c>
      <c r="M232" s="4" cm="1">
        <f t="array" aca="1" ref="M232" ca="1">SUM(COUNTIF(Final_evaluation!$M$122:'Final_evaluation'!$M$136, {"&lt;&gt;correct"}))</f>
        <v>3</v>
      </c>
      <c r="N232" s="4" cm="1">
        <f t="array" aca="1" ref="N232" ca="1">SUM(COUNTIF(Final_evaluation!$N$122:'Final_evaluation'!$N$136, {"&lt;&gt;correct"}))</f>
        <v>4</v>
      </c>
      <c r="O232" s="4" cm="1">
        <f t="array" aca="1" ref="O232" ca="1">SUM(COUNTIF(Final_evaluation!$O$122:'Final_evaluation'!$O$136, {"&lt;&gt;correct"}))</f>
        <v>3</v>
      </c>
      <c r="P232" s="4" cm="1">
        <f t="array" aca="1" ref="P232" ca="1">SUM(COUNTIF(Final_evaluation!$P$122:'Final_evaluation'!$P$136, {"&lt;&gt;correct"}))</f>
        <v>5</v>
      </c>
      <c r="Q232" s="4" cm="1">
        <f t="array" aca="1" ref="Q232" ca="1">SUM(COUNTIF(Final_evaluation!$Q$122:'Final_evaluation'!$Q$136, {"&lt;&gt;correct"}))</f>
        <v>4</v>
      </c>
      <c r="R232" s="4" cm="1">
        <f t="array" aca="1" ref="R232" ca="1">SUM(COUNTIF(Final_evaluation!$R$122:'Final_evaluation'!$R$136, {"&lt;&gt;correct"}))</f>
        <v>5</v>
      </c>
      <c r="S232" s="4" cm="1">
        <f t="array" aca="1" ref="S232" ca="1">SUM(COUNTIF(Final_evaluation!$S$122:'Final_evaluation'!$S$136, {"&lt;&gt;correct"}))</f>
        <v>4</v>
      </c>
    </row>
    <row r="233" spans="1:22">
      <c r="A233" t="s">
        <v>252</v>
      </c>
      <c r="B233" s="4" cm="1">
        <f t="array" aca="1" ref="B233" ca="1">SUM(COUNTIF(Final_evaluation!$B$137:'Final_evaluation'!$B$151, {"&lt;&gt;correct"}))</f>
        <v>2</v>
      </c>
      <c r="C233" s="4" cm="1">
        <f t="array" aca="1" ref="C233" ca="1">SUM(COUNTIF(Final_evaluation!$C$137:'Final_evaluation'!$C$151, {"&lt;&gt;correct"}))</f>
        <v>3</v>
      </c>
      <c r="D233" s="4" cm="1">
        <f t="array" aca="1" ref="D233" ca="1">SUM(COUNTIF(Final_evaluation!$D$137:'Final_evaluation'!$D$151, {"&lt;&gt;correct"}))</f>
        <v>3</v>
      </c>
      <c r="E233" s="4" cm="1">
        <f t="array" aca="1" ref="E233" ca="1">SUM(COUNTIF(Final_evaluation!$E$137:'Final_evaluation'!$E$151, {"&lt;&gt;correct"}))</f>
        <v>1</v>
      </c>
      <c r="F233" s="4" cm="1">
        <f t="array" aca="1" ref="F233" ca="1">SUM(COUNTIF(Final_evaluation!$F$137:'Final_evaluation'!$F$151, {"&lt;&gt;correct"}))</f>
        <v>1</v>
      </c>
      <c r="G233" s="4" cm="1">
        <f t="array" aca="1" ref="G233" ca="1">SUM(COUNTIF(Final_evaluation!$G$137:'Final_evaluation'!$G$151, {"&lt;&gt;correct"}))</f>
        <v>1</v>
      </c>
      <c r="H233" s="4" cm="1">
        <f t="array" aca="1" ref="H233" ca="1">SUM(COUNTIF(Final_evaluation!$H$137:'Final_evaluation'!$H$151, {"&lt;&gt;correct"}))</f>
        <v>8</v>
      </c>
      <c r="I233" s="4" cm="1">
        <f t="array" aca="1" ref="I233" ca="1">SUM(COUNTIF(Final_evaluation!$I$137:'Final_evaluation'!$I$151, {"&lt;&gt;correct"}))</f>
        <v>8</v>
      </c>
      <c r="J233" s="4" cm="1">
        <f t="array" aca="1" ref="J233" ca="1">SUM(COUNTIF(Final_evaluation!$J$137:'Final_evaluation'!$J$151, {"&lt;&gt;correct"}))</f>
        <v>9</v>
      </c>
      <c r="K233" s="4" cm="1">
        <f t="array" aca="1" ref="K233" ca="1">SUM(COUNTIF(Final_evaluation!$K$137:'Final_evaluation'!$K$151, {"&lt;&gt;correct"}))</f>
        <v>8</v>
      </c>
      <c r="L233" s="4" cm="1">
        <f t="array" aca="1" ref="L233" ca="1">SUM(COUNTIF(Final_evaluation!$L$137:'Final_evaluation'!$L$151, {"&lt;&gt;correct"}))</f>
        <v>9</v>
      </c>
      <c r="M233" s="4" cm="1">
        <f t="array" aca="1" ref="M233" ca="1">SUM(COUNTIF(Final_evaluation!$M$137:'Final_evaluation'!$M$151, {"&lt;&gt;correct"}))</f>
        <v>9</v>
      </c>
      <c r="N233" s="4" cm="1">
        <f t="array" aca="1" ref="N233" ca="1">SUM(COUNTIF(Final_evaluation!$N$137:'Final_evaluation'!$N$151, {"&lt;&gt;correct"}))</f>
        <v>4</v>
      </c>
      <c r="O233" s="4" cm="1">
        <f t="array" aca="1" ref="O233" ca="1">SUM(COUNTIF(Final_evaluation!$O$137:'Final_evaluation'!$O$151, {"&lt;&gt;correct"}))</f>
        <v>4</v>
      </c>
      <c r="P233" s="4" cm="1">
        <f t="array" aca="1" ref="P233" ca="1">SUM(COUNTIF(Final_evaluation!$P$137:'Final_evaluation'!$P$151, {"&lt;&gt;correct"}))</f>
        <v>5</v>
      </c>
      <c r="Q233" s="4" cm="1">
        <f t="array" aca="1" ref="Q233" ca="1">SUM(COUNTIF(Final_evaluation!$Q$137:'Final_evaluation'!$Q$151, {"&lt;&gt;correct"}))</f>
        <v>4</v>
      </c>
      <c r="R233" s="4" cm="1">
        <f t="array" aca="1" ref="R233" ca="1">SUM(COUNTIF(Final_evaluation!$R$137:'Final_evaluation'!$R$151, {"&lt;&gt;correct"}))</f>
        <v>4</v>
      </c>
      <c r="S233" s="4" cm="1">
        <f t="array" aca="1" ref="S233" ca="1">SUM(COUNTIF(Final_evaluation!$S$137:'Final_evaluation'!$S$151, {"&lt;&gt;correct"}))</f>
        <v>4</v>
      </c>
    </row>
    <row r="234" spans="1:22">
      <c r="A234" t="s">
        <v>253</v>
      </c>
      <c r="B234" s="4" cm="1">
        <f t="array" aca="1" ref="B234" ca="1">SUM(COUNTIF(Final_evaluation!$B$152:'Final_evaluation'!$B$167, {"&lt;&gt;correct"}))</f>
        <v>7</v>
      </c>
      <c r="C234" s="4" cm="1">
        <f t="array" aca="1" ref="C234" ca="1">SUM(COUNTIF(Final_evaluation!$C$152:'Final_evaluation'!$C$167, {"&lt;&gt;correct"}))</f>
        <v>6</v>
      </c>
      <c r="D234" s="4" cm="1">
        <f t="array" aca="1" ref="D234" ca="1">SUM(COUNTIF(Final_evaluation!$D$152:'Final_evaluation'!$D$167, {"&lt;&gt;correct"}))</f>
        <v>10</v>
      </c>
      <c r="E234" s="4" cm="1">
        <f t="array" aca="1" ref="E234" ca="1">SUM(COUNTIF(Final_evaluation!$E$152:'Final_evaluation'!$E$167, {"&lt;&gt;correct"}))</f>
        <v>4</v>
      </c>
      <c r="F234" s="4" cm="1">
        <f t="array" aca="1" ref="F234" ca="1">SUM(COUNTIF(Final_evaluation!$F$152:'Final_evaluation'!$F$167, {"&lt;&gt;correct"}))</f>
        <v>8</v>
      </c>
      <c r="G234" s="4" cm="1">
        <f t="array" aca="1" ref="G234" ca="1">SUM(COUNTIF(Final_evaluation!$G$152:'Final_evaluation'!$G$167, {"&lt;&gt;correct"}))</f>
        <v>8</v>
      </c>
      <c r="H234" s="4" cm="1">
        <f t="array" aca="1" ref="H234" ca="1">SUM(COUNTIF(Final_evaluation!$H$152:'Final_evaluation'!$H$167, {"&lt;&gt;correct"}))</f>
        <v>4</v>
      </c>
      <c r="I234" s="4" cm="1">
        <f t="array" aca="1" ref="I234" ca="1">SUM(COUNTIF(Final_evaluation!$I$152:'Final_evaluation'!$I$167, {"&lt;&gt;correct"}))</f>
        <v>2</v>
      </c>
      <c r="J234" s="4" cm="1">
        <f t="array" aca="1" ref="J234" ca="1">SUM(COUNTIF(Final_evaluation!$J$152:'Final_evaluation'!$J$167, {"&lt;&gt;correct"}))</f>
        <v>2</v>
      </c>
      <c r="K234" s="4" cm="1">
        <f t="array" aca="1" ref="K234" ca="1">SUM(COUNTIF(Final_evaluation!$K$152:'Final_evaluation'!$K$167, {"&lt;&gt;correct"}))</f>
        <v>3</v>
      </c>
      <c r="L234" s="4" cm="1">
        <f t="array" aca="1" ref="L234" ca="1">SUM(COUNTIF(Final_evaluation!$L$152:'Final_evaluation'!$L$167, {"&lt;&gt;correct"}))</f>
        <v>4</v>
      </c>
      <c r="M234" s="4" cm="1">
        <f t="array" aca="1" ref="M234" ca="1">SUM(COUNTIF(Final_evaluation!$M$152:'Final_evaluation'!$M$167, {"&lt;&gt;correct"}))</f>
        <v>4</v>
      </c>
      <c r="N234" s="4" cm="1">
        <f t="array" aca="1" ref="N234" ca="1">SUM(COUNTIF(Final_evaluation!$N$152:'Final_evaluation'!$N$167, {"&lt;&gt;correct"}))</f>
        <v>3</v>
      </c>
      <c r="O234" s="4" cm="1">
        <f t="array" aca="1" ref="O234" ca="1">SUM(COUNTIF(Final_evaluation!$O$152:'Final_evaluation'!$O$167, {"&lt;&gt;correct"}))</f>
        <v>4</v>
      </c>
      <c r="P234" s="4" cm="1">
        <f t="array" aca="1" ref="P234" ca="1">SUM(COUNTIF(Final_evaluation!$P$152:'Final_evaluation'!$P$167, {"&lt;&gt;correct"}))</f>
        <v>3</v>
      </c>
      <c r="Q234" s="4" cm="1">
        <f t="array" aca="1" ref="Q234" ca="1">SUM(COUNTIF(Final_evaluation!$Q$152:'Final_evaluation'!$Q$167, {"&lt;&gt;correct"}))</f>
        <v>3</v>
      </c>
      <c r="R234" s="4" cm="1">
        <f t="array" aca="1" ref="R234" ca="1">SUM(COUNTIF(Final_evaluation!$R$152:'Final_evaluation'!$R$167, {"&lt;&gt;correct"}))</f>
        <v>4</v>
      </c>
      <c r="S234" s="4" cm="1">
        <f t="array" aca="1" ref="S234" ca="1">SUM(COUNTIF(Final_evaluation!$S$152:'Final_evaluation'!$S$167, {"&lt;&gt;correct"}))</f>
        <v>3</v>
      </c>
    </row>
    <row r="235" spans="1:22">
      <c r="A235" s="1" t="s">
        <v>254</v>
      </c>
      <c r="B235" s="4" cm="1">
        <f t="array" aca="1" ref="B235" ca="1">SUM(COUNTIF(Final_evaluation!$B$168:'Final_evaluation'!$B$183, {"&lt;&gt;correct"}))</f>
        <v>5</v>
      </c>
      <c r="C235" s="4" cm="1">
        <f t="array" aca="1" ref="C235" ca="1">SUM(COUNTIF(Final_evaluation!$C$168:'Final_evaluation'!$C$183, {"&lt;&gt;correct"}))</f>
        <v>5</v>
      </c>
      <c r="D235" s="4" cm="1">
        <f t="array" aca="1" ref="D235" ca="1">SUM(COUNTIF(Final_evaluation!$D$168:'Final_evaluation'!$D$183, {"&lt;&gt;correct"}))</f>
        <v>5</v>
      </c>
      <c r="E235" s="4" cm="1">
        <f t="array" aca="1" ref="E235" ca="1">SUM(COUNTIF(Final_evaluation!$E$168:'Final_evaluation'!$E$183, {"&lt;&gt;correct"}))</f>
        <v>6</v>
      </c>
      <c r="F235" s="4" cm="1">
        <f t="array" aca="1" ref="F235" ca="1">SUM(COUNTIF(Final_evaluation!$F$168:'Final_evaluation'!$F$183, {"&lt;&gt;correct"}))</f>
        <v>2</v>
      </c>
      <c r="G235" s="4" cm="1">
        <f t="array" aca="1" ref="G235" ca="1">SUM(COUNTIF(Final_evaluation!$G$168:'Final_evaluation'!$G$183, {"&lt;&gt;correct"}))</f>
        <v>5</v>
      </c>
      <c r="H235" s="4" cm="1">
        <f t="array" aca="1" ref="H235" ca="1">SUM(COUNTIF(Final_evaluation!$H$168:'Final_evaluation'!$H$183, {"&lt;&gt;correct"}))</f>
        <v>9</v>
      </c>
      <c r="I235" s="4" cm="1">
        <f t="array" aca="1" ref="I235" ca="1">SUM(COUNTIF(Final_evaluation!$I$168:'Final_evaluation'!$I$183, {"&lt;&gt;correct"}))</f>
        <v>9</v>
      </c>
      <c r="J235" s="4" cm="1">
        <f t="array" aca="1" ref="J235" ca="1">SUM(COUNTIF(Final_evaluation!$J$168:'Final_evaluation'!$J$183, {"&lt;&gt;correct"}))</f>
        <v>9</v>
      </c>
      <c r="K235" s="4" cm="1">
        <f t="array" aca="1" ref="K235" ca="1">SUM(COUNTIF(Final_evaluation!$K$168:'Final_evaluation'!$K$183, {"&lt;&gt;correct"}))</f>
        <v>11</v>
      </c>
      <c r="L235" s="4" cm="1">
        <f t="array" aca="1" ref="L235" ca="1">SUM(COUNTIF(Final_evaluation!$L$168:'Final_evaluation'!$L$183, {"&lt;&gt;correct"}))</f>
        <v>9</v>
      </c>
      <c r="M235" s="4" cm="1">
        <f t="array" aca="1" ref="M235" ca="1">SUM(COUNTIF(Final_evaluation!$M$168:'Final_evaluation'!$M$183, {"&lt;&gt;correct"}))</f>
        <v>10</v>
      </c>
      <c r="N235" s="4" cm="1">
        <f t="array" aca="1" ref="N235" ca="1">SUM(COUNTIF(Final_evaluation!$N$168:'Final_evaluation'!$N$183, {"&lt;&gt;correct"}))</f>
        <v>8</v>
      </c>
      <c r="O235" s="4" cm="1">
        <f t="array" aca="1" ref="O235" ca="1">SUM(COUNTIF(Final_evaluation!$O$168:'Final_evaluation'!$O$183, {"&lt;&gt;correct"}))</f>
        <v>6</v>
      </c>
      <c r="P235" s="4" cm="1">
        <f t="array" aca="1" ref="P235" ca="1">SUM(COUNTIF(Final_evaluation!$P$168:'Final_evaluation'!$P$183, {"&lt;&gt;correct"}))</f>
        <v>7</v>
      </c>
      <c r="Q235" s="4" cm="1">
        <f t="array" aca="1" ref="Q235" ca="1">SUM(COUNTIF(Final_evaluation!$Q$168:'Final_evaluation'!$Q$183, {"&lt;&gt;correct"}))</f>
        <v>7</v>
      </c>
      <c r="R235" s="4" cm="1">
        <f t="array" aca="1" ref="R235" ca="1">SUM(COUNTIF(Final_evaluation!$R$168:'Final_evaluation'!$R$183, {"&lt;&gt;correct"}))</f>
        <v>7</v>
      </c>
      <c r="S235" s="4" cm="1">
        <f t="array" aca="1" ref="S235" ca="1">SUM(COUNTIF(Final_evaluation!$S$168:'Final_evaluation'!$S$183, {"&lt;&gt;correct"}))</f>
        <v>6</v>
      </c>
    </row>
    <row r="236" spans="1:22">
      <c r="A236" t="s">
        <v>255</v>
      </c>
      <c r="B236" s="4" cm="1">
        <f t="array" aca="1" ref="B236" ca="1">SUM(COUNTIF(Final_evaluation!$B$184:'Final_evaluation'!$B$203, {"&lt;&gt;correct"}))</f>
        <v>6</v>
      </c>
      <c r="C236" s="4" cm="1">
        <f t="array" aca="1" ref="C236" ca="1">SUM(COUNTIF(Final_evaluation!$C$184:'Final_evaluation'!$C$203, {"&lt;&gt;correct"}))</f>
        <v>3</v>
      </c>
      <c r="D236" s="4" cm="1">
        <f t="array" aca="1" ref="D236" ca="1">SUM(COUNTIF(Final_evaluation!$D$184:'Final_evaluation'!$D$203, {"&lt;&gt;correct"}))</f>
        <v>4</v>
      </c>
      <c r="E236" s="4" cm="1">
        <f t="array" aca="1" ref="E236" ca="1">SUM(COUNTIF(Final_evaluation!$E$184:'Final_evaluation'!$E$203, {"&lt;&gt;correct"}))</f>
        <v>4</v>
      </c>
      <c r="F236" s="4" cm="1">
        <f t="array" aca="1" ref="F236" ca="1">SUM(COUNTIF(Final_evaluation!$F$184:'Final_evaluation'!$F$203, {"&lt;&gt;correct"}))</f>
        <v>6</v>
      </c>
      <c r="G236" s="4" cm="1">
        <f t="array" aca="1" ref="G236" ca="1">SUM(COUNTIF(Final_evaluation!$G$184:'Final_evaluation'!$G$203, {"&lt;&gt;correct"}))</f>
        <v>4</v>
      </c>
      <c r="H236" s="4" cm="1">
        <f t="array" aca="1" ref="H236" ca="1">SUM(COUNTIF(Final_evaluation!$H$184:'Final_evaluation'!$H$203, {"&lt;&gt;correct"}))</f>
        <v>1</v>
      </c>
      <c r="I236" s="4" cm="1">
        <f t="array" aca="1" ref="I236" ca="1">SUM(COUNTIF(Final_evaluation!$I$184:'Final_evaluation'!$I$203, {"&lt;&gt;correct"}))</f>
        <v>0</v>
      </c>
      <c r="J236" s="4" cm="1">
        <f t="array" aca="1" ref="J236" ca="1">SUM(COUNTIF(Final_evaluation!$J$184:'Final_evaluation'!$J$203, {"&lt;&gt;correct"}))</f>
        <v>2</v>
      </c>
      <c r="K236" s="4" cm="1">
        <f t="array" aca="1" ref="K236" ca="1">SUM(COUNTIF(Final_evaluation!$K$184:'Final_evaluation'!$K$203, {"&lt;&gt;correct"}))</f>
        <v>3</v>
      </c>
      <c r="L236" s="4" cm="1">
        <f t="array" aca="1" ref="L236" ca="1">SUM(COUNTIF(Final_evaluation!$L$184:'Final_evaluation'!$L$203, {"&lt;&gt;correct"}))</f>
        <v>1</v>
      </c>
      <c r="M236" s="4" cm="1">
        <f t="array" aca="1" ref="M236" ca="1">SUM(COUNTIF(Final_evaluation!$M$184:'Final_evaluation'!$M$203, {"&lt;&gt;correct"}))</f>
        <v>3</v>
      </c>
      <c r="N236" s="4" cm="1">
        <f t="array" aca="1" ref="N236" ca="1">SUM(COUNTIF(Final_evaluation!$N$184:'Final_evaluation'!$N$203, {"&lt;&gt;correct"}))</f>
        <v>1</v>
      </c>
      <c r="O236" s="4" cm="1">
        <f t="array" aca="1" ref="O236" ca="1">SUM(COUNTIF(Final_evaluation!$O$184:'Final_evaluation'!$O$203, {"&lt;&gt;correct"}))</f>
        <v>1</v>
      </c>
      <c r="P236" s="4" cm="1">
        <f t="array" aca="1" ref="P236" ca="1">SUM(COUNTIF(Final_evaluation!$P$184:'Final_evaluation'!$P$203, {"&lt;&gt;correct"}))</f>
        <v>2</v>
      </c>
      <c r="Q236" s="4" cm="1">
        <f t="array" aca="1" ref="Q236" ca="1">SUM(COUNTIF(Final_evaluation!$Q$184:'Final_evaluation'!$Q$203, {"&lt;&gt;correct"}))</f>
        <v>1</v>
      </c>
      <c r="R236" s="4" cm="1">
        <f t="array" aca="1" ref="R236" ca="1">SUM(COUNTIF(Final_evaluation!$R$184:'Final_evaluation'!$R$203, {"&lt;&gt;correct"}))</f>
        <v>0</v>
      </c>
      <c r="S236" s="4" cm="1">
        <f t="array" aca="1" ref="S236" ca="1">SUM(COUNTIF(Final_evaluation!$S$184:'Final_evaluation'!$S$203, {"&lt;&gt;correct"}))</f>
        <v>2</v>
      </c>
    </row>
    <row r="237" spans="1:22" s="3" customFormat="1">
      <c r="A237" s="3" t="s">
        <v>256</v>
      </c>
      <c r="B237" s="6" cm="1">
        <f t="array" aca="1" ref="B237" ca="1">SUM(COUNTIF(Final_evaluation!$B$204:'Final_evaluation'!$B$223, {"&lt;&gt;correct"}))</f>
        <v>0</v>
      </c>
      <c r="C237" s="6" cm="1">
        <f t="array" aca="1" ref="C237" ca="1">SUM(COUNTIF(Final_evaluation!$C$204:'Final_evaluation'!$C$223, {"&lt;&gt;correct"}))</f>
        <v>0</v>
      </c>
      <c r="D237" s="6" cm="1">
        <f t="array" aca="1" ref="D237" ca="1">SUM(COUNTIF(Final_evaluation!$D$204:'Final_evaluation'!$D$223, {"&lt;&gt;correct"}))</f>
        <v>2</v>
      </c>
      <c r="E237" s="6" cm="1">
        <f t="array" aca="1" ref="E237" ca="1">SUM(COUNTIF(Final_evaluation!$E$204:'Final_evaluation'!$E$223, {"&lt;&gt;correct"}))</f>
        <v>1</v>
      </c>
      <c r="F237" s="6" cm="1">
        <f t="array" aca="1" ref="F237" ca="1">SUM(COUNTIF(Final_evaluation!$F$204:'Final_evaluation'!$F$223, {"&lt;&gt;correct"}))</f>
        <v>1</v>
      </c>
      <c r="G237" s="6" cm="1">
        <f t="array" aca="1" ref="G237" ca="1">SUM(COUNTIF(Final_evaluation!$G$204:'Final_evaluation'!$G$223, {"&lt;&gt;correct"}))</f>
        <v>1</v>
      </c>
      <c r="H237" s="6" cm="1">
        <f t="array" aca="1" ref="H237" ca="1">SUM(COUNTIF(Final_evaluation!$H$204:'Final_evaluation'!$H$223, {"&lt;&gt;correct"}))</f>
        <v>0</v>
      </c>
      <c r="I237" s="6" cm="1">
        <f t="array" aca="1" ref="I237" ca="1">SUM(COUNTIF(Final_evaluation!$I$204:'Final_evaluation'!$I$223, {"&lt;&gt;correct"}))</f>
        <v>2</v>
      </c>
      <c r="J237" s="6" cm="1">
        <f t="array" aca="1" ref="J237" ca="1">SUM(COUNTIF(Final_evaluation!$J$204:'Final_evaluation'!$J$223, {"&lt;&gt;correct"}))</f>
        <v>3</v>
      </c>
      <c r="K237" s="6" cm="1">
        <f t="array" aca="1" ref="K237" ca="1">SUM(COUNTIF(Final_evaluation!$K$204:'Final_evaluation'!$K$223, {"&lt;&gt;correct"}))</f>
        <v>4</v>
      </c>
      <c r="L237" s="6" cm="1">
        <f t="array" aca="1" ref="L237" ca="1">SUM(COUNTIF(Final_evaluation!$L$204:'Final_evaluation'!$L$223, {"&lt;&gt;correct"}))</f>
        <v>2</v>
      </c>
      <c r="M237" s="6" cm="1">
        <f t="array" aca="1" ref="M237" ca="1">SUM(COUNTIF(Final_evaluation!$M$204:'Final_evaluation'!$M$223, {"&lt;&gt;correct"}))</f>
        <v>3</v>
      </c>
      <c r="N237" s="6" cm="1">
        <f t="array" aca="1" ref="N237" ca="1">SUM(COUNTIF(Final_evaluation!$N$204:'Final_evaluation'!$N$223, {"&lt;&gt;correct"}))</f>
        <v>2</v>
      </c>
      <c r="O237" s="6" cm="1">
        <f t="array" aca="1" ref="O237" ca="1">SUM(COUNTIF(Final_evaluation!$O$204:'Final_evaluation'!$O$223, {"&lt;&gt;correct"}))</f>
        <v>1</v>
      </c>
      <c r="P237" s="6" cm="1">
        <f t="array" aca="1" ref="P237" ca="1">SUM(COUNTIF(Final_evaluation!$P$204:'Final_evaluation'!$P$223, {"&lt;&gt;correct"}))</f>
        <v>3</v>
      </c>
      <c r="Q237" s="6" cm="1">
        <f t="array" aca="1" ref="Q237" ca="1">SUM(COUNTIF(Final_evaluation!$Q$204:'Final_evaluation'!$Q$223, {"&lt;&gt;correct"}))</f>
        <v>2</v>
      </c>
      <c r="R237" s="6" cm="1">
        <f t="array" aca="1" ref="R237" ca="1">SUM(COUNTIF(Final_evaluation!$R$204:'Final_evaluation'!$R$223, {"&lt;&gt;correct"}))</f>
        <v>4</v>
      </c>
      <c r="S237" s="6" cm="1">
        <f t="array" aca="1" ref="S237" ca="1">SUM(COUNTIF(Final_evaluation!$S$204:'Final_evaluation'!$S$223, {"&lt;&gt;correct"}))</f>
        <v>1</v>
      </c>
    </row>
    <row r="238" spans="1:22">
      <c r="A238" s="1" t="s">
        <v>257</v>
      </c>
      <c r="B238" cm="1">
        <f t="array" ref="B238">SUM(COUNTIF($B$2:$B$31, {"correct"}))</f>
        <v>19</v>
      </c>
      <c r="C238" cm="1">
        <f t="array" ref="C238">SUM(COUNTIF($C$2:$C$31, {"correct"}))</f>
        <v>18</v>
      </c>
      <c r="D238" cm="1">
        <f t="array" ref="D238">SUM(COUNTIF($D$2:$D$31, {"correct"}))</f>
        <v>20</v>
      </c>
      <c r="E238" cm="1">
        <f t="array" ref="E238">SUM(COUNTIF($E$2:$E$31, {"correct"}))</f>
        <v>21</v>
      </c>
      <c r="F238" cm="1">
        <f t="array" ref="F238">SUM(COUNTIF($F$2:$F$31, {"correct"}))</f>
        <v>20</v>
      </c>
      <c r="G238" s="1" cm="1">
        <f t="array" ref="G238">SUM(COUNTIF($G$2:$G$31, {"correct"}))</f>
        <v>18</v>
      </c>
      <c r="H238" cm="1">
        <f t="array" ref="H238">SUM(COUNTIF($H$2:$H$31, {"correct"}))</f>
        <v>22</v>
      </c>
      <c r="I238" cm="1">
        <f t="array" ref="I238">SUM(COUNTIF($I$2:$I$31, {"correct"}))</f>
        <v>28</v>
      </c>
      <c r="J238" cm="1">
        <f t="array" ref="J238">SUM(COUNTIF($J$2:$J$31, {"correct"}))</f>
        <v>27</v>
      </c>
      <c r="K238" cm="1">
        <f t="array" ref="K238">SUM(COUNTIF($K$2:$K$31, {"correct"}))</f>
        <v>25</v>
      </c>
      <c r="L238" cm="1">
        <f t="array" ref="L238">SUM(COUNTIF($L$2:$L$31, {"correct"}))</f>
        <v>25</v>
      </c>
      <c r="M238" s="1" cm="1">
        <f t="array" ref="M238">SUM(COUNTIF($M$2:$M$31, {"correct"}))</f>
        <v>24</v>
      </c>
      <c r="N238" cm="1">
        <f t="array" ref="N238">SUM(COUNTIF($N$2:$N$31, {"correct"}))</f>
        <v>25</v>
      </c>
      <c r="O238" cm="1">
        <f t="array" ref="O238">SUM(COUNTIF($O$2:$O$31, {"correct"}))</f>
        <v>25</v>
      </c>
      <c r="P238" cm="1">
        <f t="array" ref="P238">SUM(COUNTIF($P$2:$P$31, {"correct"}))</f>
        <v>25</v>
      </c>
      <c r="Q238" cm="1">
        <f t="array" ref="Q238">SUM(COUNTIF($Q$2:$Q$31, {"correct"}))</f>
        <v>26</v>
      </c>
      <c r="R238" cm="1">
        <f t="array" ref="R238">SUM(COUNTIF($R$2:$R$31, {"correct"}))</f>
        <v>24</v>
      </c>
      <c r="S238" cm="1">
        <f t="array" ref="S238">SUM(COUNTIF($S$2:$S$31, {"correct"}))</f>
        <v>25</v>
      </c>
    </row>
    <row r="239" spans="1:22" s="3" customFormat="1">
      <c r="A239" s="1" t="s">
        <v>258</v>
      </c>
      <c r="B239" s="4">
        <f xml:space="preserve"> B238/ COUNTA($B$2:$B$31)</f>
        <v>0.6333333333333333</v>
      </c>
      <c r="C239" s="4">
        <f xml:space="preserve"> C238/ COUNTA($C$2:$C$31)</f>
        <v>0.6</v>
      </c>
      <c r="D239" s="4">
        <f xml:space="preserve"> D238/ COUNTA($D$2:$D$31)</f>
        <v>0.66666666666666663</v>
      </c>
      <c r="E239" s="4">
        <f xml:space="preserve"> E238/ COUNTA($E$2:$E$31)</f>
        <v>0.7</v>
      </c>
      <c r="F239" s="4">
        <f xml:space="preserve"> F238/ COUNTA($F$2:$F$31)</f>
        <v>0.66666666666666663</v>
      </c>
      <c r="G239" s="5">
        <f xml:space="preserve"> G238/ COUNTA($G$2:$G$31)</f>
        <v>0.6</v>
      </c>
      <c r="H239" s="4">
        <f xml:space="preserve"> H238/ COUNTA($H$2:$H$31)</f>
        <v>0.73333333333333328</v>
      </c>
      <c r="I239" s="4">
        <f xml:space="preserve"> I238/ COUNTA($I$2:$I$31)</f>
        <v>0.93333333333333335</v>
      </c>
      <c r="J239" s="4">
        <f xml:space="preserve"> J238/ COUNTA($J$2:$J$31)</f>
        <v>0.9</v>
      </c>
      <c r="K239" s="4">
        <f xml:space="preserve"> K238/ COUNTA($K$2:$K$31)</f>
        <v>0.83333333333333337</v>
      </c>
      <c r="L239" s="4">
        <f xml:space="preserve"> L238/ COUNTA($L$2:$L$31)</f>
        <v>0.83333333333333337</v>
      </c>
      <c r="M239" s="5">
        <f xml:space="preserve"> M238/ COUNTA($M$2:$M$31)</f>
        <v>0.8</v>
      </c>
      <c r="N239" s="4">
        <f xml:space="preserve"> N238/ COUNTA($N$2:$N$31)</f>
        <v>0.83333333333333337</v>
      </c>
      <c r="O239" s="4">
        <f xml:space="preserve"> O238/ COUNTA($O$2:$O$31)</f>
        <v>0.83333333333333337</v>
      </c>
      <c r="P239" s="4">
        <f xml:space="preserve"> P238/ COUNTA($P$2:$P$31)</f>
        <v>0.83333333333333337</v>
      </c>
      <c r="Q239" s="4">
        <f xml:space="preserve"> Q238/ COUNTA($Q$2:$Q$31)</f>
        <v>0.8666666666666667</v>
      </c>
      <c r="R239" s="4">
        <f xml:space="preserve"> R238/ COUNTA($R$2:$R$31)</f>
        <v>0.8</v>
      </c>
      <c r="S239" s="4">
        <f xml:space="preserve"> S238/ COUNTA($S$2:$S$31)</f>
        <v>0.83333333333333337</v>
      </c>
      <c r="T239"/>
      <c r="U239"/>
      <c r="V239"/>
    </row>
    <row r="240" spans="1:22">
      <c r="A240" s="1" t="s">
        <v>259</v>
      </c>
      <c r="B240" s="4" cm="1">
        <f t="array" ref="B240">SUM(COUNTIF($B$32:$B$61, {"correct"}))</f>
        <v>16</v>
      </c>
      <c r="C240" s="4" cm="1">
        <f t="array" ref="C240">SUM(COUNTIF($C$32:$C$61, {"correct"}))</f>
        <v>18</v>
      </c>
      <c r="D240" s="4" cm="1">
        <f t="array" ref="D240">SUM(COUNTIF($D$32:$D$61, {"correct"}))</f>
        <v>21</v>
      </c>
      <c r="E240" s="4" cm="1">
        <f t="array" ref="E240">SUM(COUNTIF($E$32:$E$61, {"correct"}))</f>
        <v>17</v>
      </c>
      <c r="F240" s="4" cm="1">
        <f t="array" ref="F240">SUM(COUNTIF($F$32:$F$61, {"correct"}))</f>
        <v>20</v>
      </c>
      <c r="G240" s="5" cm="1">
        <f t="array" ref="G240">SUM(COUNTIF($G$32:$G$61, {"correct"}))</f>
        <v>20</v>
      </c>
      <c r="H240" s="4" cm="1">
        <f t="array" ref="H240">SUM(COUNTIF($H$32:$H$61, {"correct"}))</f>
        <v>16</v>
      </c>
      <c r="I240" s="4" cm="1">
        <f t="array" ref="I240">SUM(COUNTIF($I$32:$I$61, {"correct"}))</f>
        <v>18</v>
      </c>
      <c r="J240" s="4" cm="1">
        <f t="array" ref="J240">SUM(COUNTIF($J$32:$J$61, {"correct"}))</f>
        <v>15</v>
      </c>
      <c r="K240" s="4" cm="1">
        <f t="array" ref="K240">SUM(COUNTIF($K$32:$K$61, {"correct"}))</f>
        <v>15</v>
      </c>
      <c r="L240" s="4" cm="1">
        <f t="array" ref="L240">SUM(COUNTIF($L$32:$L$61, {"correct"}))</f>
        <v>16</v>
      </c>
      <c r="M240" s="5" cm="1">
        <f t="array" ref="M240">SUM(COUNTIF($M$32:$M$61, {"correct"}))</f>
        <v>18</v>
      </c>
      <c r="N240" s="4" cm="1">
        <f t="array" ref="N240">SUM(COUNTIF($N$32:$N$61, {"correct"}))</f>
        <v>22</v>
      </c>
      <c r="O240" s="4" cm="1">
        <f t="array" ref="O240">SUM(COUNTIF($O$32:$O$61, {"correct"}))</f>
        <v>22</v>
      </c>
      <c r="P240" s="4" cm="1">
        <f t="array" ref="P240">SUM(COUNTIF($P$32:$P$61, {"correct"}))</f>
        <v>23</v>
      </c>
      <c r="Q240" s="4" cm="1">
        <f t="array" ref="Q240">SUM(COUNTIF($Q$32:$Q$61, {"correct"}))</f>
        <v>22</v>
      </c>
      <c r="R240" s="4" cm="1">
        <f t="array" ref="R240">SUM(COUNTIF($R$32:$R$61, {"correct"}))</f>
        <v>20</v>
      </c>
      <c r="S240" s="4" cm="1">
        <f t="array" ref="S240">SUM(COUNTIF($S$32:$S$61, {"correct"}))</f>
        <v>22</v>
      </c>
    </row>
    <row r="241" spans="1:22">
      <c r="A241" s="1" t="s">
        <v>260</v>
      </c>
      <c r="B241" s="4">
        <f xml:space="preserve"> B240/ COUNTA($B$32:$B$61)</f>
        <v>0.53333333333333333</v>
      </c>
      <c r="C241" s="4">
        <f xml:space="preserve"> C240/ COUNTA($C$32:$C$61)</f>
        <v>0.6</v>
      </c>
      <c r="D241" s="4">
        <f xml:space="preserve"> D240/ COUNTA($D$32:$D$61)</f>
        <v>0.7</v>
      </c>
      <c r="E241" s="4">
        <f xml:space="preserve"> E240/ COUNTA($E$32:$E$61)</f>
        <v>0.56666666666666665</v>
      </c>
      <c r="F241" s="4">
        <f xml:space="preserve"> F240/ COUNTA($F$32:$F$61)</f>
        <v>0.66666666666666663</v>
      </c>
      <c r="G241" s="5">
        <f xml:space="preserve"> G240/ COUNTA($G$32:$G$61)</f>
        <v>0.66666666666666663</v>
      </c>
      <c r="H241" s="4">
        <f xml:space="preserve"> H240/ COUNTA($H$32:$H$61)</f>
        <v>0.53333333333333333</v>
      </c>
      <c r="I241" s="4">
        <f xml:space="preserve"> I240/ COUNTA($I$32:$I$61)</f>
        <v>0.6</v>
      </c>
      <c r="J241" s="4">
        <f xml:space="preserve"> J240/ COUNTA($J$32:$J$61)</f>
        <v>0.5</v>
      </c>
      <c r="K241" s="4">
        <f xml:space="preserve"> K240/ COUNTA($K$32:$K$61)</f>
        <v>0.5</v>
      </c>
      <c r="L241" s="4">
        <f xml:space="preserve"> L240/ COUNTA($L$32:$L$61)</f>
        <v>0.53333333333333333</v>
      </c>
      <c r="M241" s="5">
        <f xml:space="preserve"> M240/ COUNTA($M$32:$M$61)</f>
        <v>0.6</v>
      </c>
      <c r="N241" s="4">
        <f xml:space="preserve"> N240/ COUNTA($N$32:$N$61)</f>
        <v>0.73333333333333328</v>
      </c>
      <c r="O241" s="4">
        <f xml:space="preserve"> O240/ COUNTA($O$32:$O$61)</f>
        <v>0.73333333333333328</v>
      </c>
      <c r="P241" s="4">
        <f xml:space="preserve"> P240/ COUNTA($P$32:$P$61)</f>
        <v>0.76666666666666672</v>
      </c>
      <c r="Q241" s="4">
        <f xml:space="preserve"> Q240/ COUNTA($Q$32:$Q$61)</f>
        <v>0.73333333333333328</v>
      </c>
      <c r="R241" s="4">
        <f xml:space="preserve"> R240/ COUNTA($R$32:$R$61)</f>
        <v>0.66666666666666663</v>
      </c>
      <c r="S241" s="4">
        <f xml:space="preserve"> S240/ COUNTA($S$32:$S$61)</f>
        <v>0.73333333333333328</v>
      </c>
    </row>
    <row r="242" spans="1:22">
      <c r="A242" s="1" t="s">
        <v>261</v>
      </c>
      <c r="B242" s="4" cm="1">
        <f t="array" ref="B242">SUM(COUNTIF($B$62:$B$91, {"correct"}))</f>
        <v>20</v>
      </c>
      <c r="C242" s="4" cm="1">
        <f t="array" ref="C242">SUM(COUNTIF($C$62:$C$91, {"correct"}))</f>
        <v>26</v>
      </c>
      <c r="D242" s="4" cm="1">
        <f t="array" ref="D242">SUM(COUNTIF($D$62:$D$91, {"correct"}))</f>
        <v>27</v>
      </c>
      <c r="E242" s="4" cm="1">
        <f t="array" ref="E242">SUM(COUNTIF($E$62:$E$91, {"correct"}))</f>
        <v>25</v>
      </c>
      <c r="F242" s="4" cm="1">
        <f t="array" ref="F242">SUM(COUNTIF($F$62:$F$91, {"correct"}))</f>
        <v>25</v>
      </c>
      <c r="G242" s="5" cm="1">
        <f t="array" ref="G242">SUM(COUNTIF($G$62:$G$91, {"correct"}))</f>
        <v>24</v>
      </c>
      <c r="H242" s="4" cm="1">
        <f t="array" ref="H242">SUM(COUNTIF($H$62:$H$91, {"correct"}))</f>
        <v>22</v>
      </c>
      <c r="I242" s="4" cm="1">
        <f t="array" ref="I242">SUM(COUNTIF($I$62:$I$91, {"correct"}))</f>
        <v>25</v>
      </c>
      <c r="J242" s="4" cm="1">
        <f t="array" ref="J242">SUM(COUNTIF($J$62:$J$91, {"correct"}))</f>
        <v>25</v>
      </c>
      <c r="K242" s="4" cm="1">
        <f t="array" ref="K242">SUM(COUNTIF($K$62:$K$91, {"correct"}))</f>
        <v>25</v>
      </c>
      <c r="L242" s="4" cm="1">
        <f t="array" ref="L242">SUM(COUNTIF($L$62:$L$91, {"correct"}))</f>
        <v>26</v>
      </c>
      <c r="M242" s="5" cm="1">
        <f t="array" ref="M242">SUM(COUNTIF($M$62:$M$91, {"correct"}))</f>
        <v>24</v>
      </c>
      <c r="N242" s="4" cm="1">
        <f t="array" ref="N242">SUM(COUNTIF($N$62:$N$91, {"correct"}))</f>
        <v>25</v>
      </c>
      <c r="O242" s="4" cm="1">
        <f t="array" ref="O242">SUM(COUNTIF($O$62:$O$91, {"correct"}))</f>
        <v>26</v>
      </c>
      <c r="P242" s="4" cm="1">
        <f t="array" ref="P242">SUM(COUNTIF($P$62:$P$91, {"correct"}))</f>
        <v>28</v>
      </c>
      <c r="Q242" s="4" cm="1">
        <f t="array" ref="Q242">SUM(COUNTIF($Q$62:$Q$91, {"correct"}))</f>
        <v>28</v>
      </c>
      <c r="R242" s="4" cm="1">
        <f t="array" ref="R242">SUM(COUNTIF($R$62:$R$91, {"correct"}))</f>
        <v>29</v>
      </c>
      <c r="S242" s="4" cm="1">
        <f t="array" ref="S242">SUM(COUNTIF($S$62:$S$91, {"correct"}))</f>
        <v>27</v>
      </c>
    </row>
    <row r="243" spans="1:22">
      <c r="A243" s="1" t="s">
        <v>262</v>
      </c>
      <c r="B243" s="4">
        <f xml:space="preserve"> B242/ COUNTA($B$62:$B$91)</f>
        <v>0.66666666666666663</v>
      </c>
      <c r="C243" s="4">
        <f xml:space="preserve"> C242/ COUNTA($C$62:$C$91)</f>
        <v>0.8666666666666667</v>
      </c>
      <c r="D243" s="4">
        <f xml:space="preserve"> D242/ COUNTA($D$62:$D$91)</f>
        <v>0.9</v>
      </c>
      <c r="E243" s="4">
        <f xml:space="preserve"> E242/ COUNTA($E$62:$E$91)</f>
        <v>0.83333333333333337</v>
      </c>
      <c r="F243" s="4">
        <f xml:space="preserve"> F242/ COUNTA($F$62:$F$91)</f>
        <v>0.83333333333333337</v>
      </c>
      <c r="G243" s="5">
        <f xml:space="preserve"> G242/ COUNTA($G$62:$G$91)</f>
        <v>0.8</v>
      </c>
      <c r="H243" s="4">
        <f xml:space="preserve"> H242/ COUNTA($H$62:$H$91)</f>
        <v>0.73333333333333328</v>
      </c>
      <c r="I243" s="4">
        <f xml:space="preserve"> I242/ COUNTA($I$62:$I$91)</f>
        <v>0.83333333333333337</v>
      </c>
      <c r="J243" s="4">
        <f xml:space="preserve"> J242/ COUNTA($J$62:$J$91)</f>
        <v>0.83333333333333337</v>
      </c>
      <c r="K243" s="4">
        <f xml:space="preserve"> K242/ COUNTA($K$62:$K$91)</f>
        <v>0.83333333333333337</v>
      </c>
      <c r="L243" s="4">
        <f xml:space="preserve"> L242/ COUNTA($L$62:$L$91)</f>
        <v>0.8666666666666667</v>
      </c>
      <c r="M243" s="5">
        <f xml:space="preserve"> M242/ COUNTA($M$62:$M$91)</f>
        <v>0.8</v>
      </c>
      <c r="N243" s="4">
        <f xml:space="preserve"> N242/ COUNTA($N$62:$N$91)</f>
        <v>0.83333333333333337</v>
      </c>
      <c r="O243" s="4">
        <f xml:space="preserve"> O242/ COUNTA($O$62:$O$91)</f>
        <v>0.8666666666666667</v>
      </c>
      <c r="P243" s="4">
        <f xml:space="preserve"> P242/ COUNTA($P$62:$P$91)</f>
        <v>0.93333333333333335</v>
      </c>
      <c r="Q243" s="4">
        <f xml:space="preserve"> Q242/ COUNTA($Q$62:$Q$91)</f>
        <v>0.93333333333333335</v>
      </c>
      <c r="R243" s="4">
        <f xml:space="preserve"> R242/ COUNTA($R$62:$R$91)</f>
        <v>0.96666666666666667</v>
      </c>
      <c r="S243" s="4">
        <f xml:space="preserve"> S242/ COUNTA($S$62:$S$91)</f>
        <v>0.9</v>
      </c>
    </row>
    <row r="244" spans="1:22">
      <c r="A244" s="1" t="s">
        <v>263</v>
      </c>
      <c r="B244" s="4" cm="1">
        <f t="array" ref="B244">SUM(COUNTIF($B$92:$B$121, {"correct"}))</f>
        <v>20</v>
      </c>
      <c r="C244" s="4" cm="1">
        <f t="array" ref="C244">SUM(COUNTIF($C$92:$C$121, {"correct"}))</f>
        <v>26</v>
      </c>
      <c r="D244" s="4" cm="1">
        <f t="array" ref="D244">SUM(COUNTIF($D$92:$D$121, {"correct"}))</f>
        <v>23</v>
      </c>
      <c r="E244" s="4" cm="1">
        <f t="array" ref="E244">SUM(COUNTIF($E$92:$E$121, {"correct"}))</f>
        <v>26</v>
      </c>
      <c r="F244" s="4" cm="1">
        <f t="array" ref="F244">SUM(COUNTIF($F$92:$F$121, {"correct"}))</f>
        <v>24</v>
      </c>
      <c r="G244" s="5" cm="1">
        <f t="array" ref="G244">SUM(COUNTIF($G$92:$G$121, {"correct"}))</f>
        <v>24</v>
      </c>
      <c r="H244" s="4" cm="1">
        <f t="array" ref="H244">SUM(COUNTIF($H$92:$H$121, {"correct"}))</f>
        <v>20</v>
      </c>
      <c r="I244" s="4" cm="1">
        <f t="array" ref="I244">SUM(COUNTIF($I$92:$I$121, {"correct"}))</f>
        <v>23</v>
      </c>
      <c r="J244" s="4" cm="1">
        <f t="array" ref="J244">SUM(COUNTIF($J$92:$J$121, {"correct"}))</f>
        <v>24</v>
      </c>
      <c r="K244" s="4" cm="1">
        <f t="array" ref="K244">SUM(COUNTIF($K$92:$K$121, {"correct"}))</f>
        <v>21</v>
      </c>
      <c r="L244" s="4" cm="1">
        <f t="array" ref="L244">SUM(COUNTIF($L$92:$L$121, {"correct"}))</f>
        <v>21</v>
      </c>
      <c r="M244" s="5" cm="1">
        <f t="array" ref="M244">SUM(COUNTIF($M$92:$M$121, {"correct"}))</f>
        <v>19</v>
      </c>
      <c r="N244" s="4" cm="1">
        <f t="array" ref="N244">SUM(COUNTIF($N$92:$N$121, {"correct"}))</f>
        <v>17</v>
      </c>
      <c r="O244" s="4" cm="1">
        <f t="array" ref="O244">SUM(COUNTIF($O$92:$O$121, {"correct"}))</f>
        <v>23</v>
      </c>
      <c r="P244" s="4" cm="1">
        <f t="array" ref="P244">SUM(COUNTIF($P$92:$P$121, {"correct"}))</f>
        <v>24</v>
      </c>
      <c r="Q244" s="4" cm="1">
        <f t="array" ref="Q244">SUM(COUNTIF($Q$92:$Q$121, {"correct"}))</f>
        <v>24</v>
      </c>
      <c r="R244" s="4" cm="1">
        <f t="array" ref="R244">SUM(COUNTIF($R$92:$R$121, {"correct"}))</f>
        <v>20</v>
      </c>
      <c r="S244" s="4" cm="1">
        <f t="array" ref="S244">SUM(COUNTIF($S$92:$S$121, {"correct"}))</f>
        <v>26</v>
      </c>
    </row>
    <row r="245" spans="1:22">
      <c r="A245" s="1" t="s">
        <v>264</v>
      </c>
      <c r="B245" s="4">
        <f>B244/ COUNTA( $B$92:$B$121)</f>
        <v>0.66666666666666663</v>
      </c>
      <c r="C245" s="4">
        <f>C244/ COUNTA( $C$92:$C$121)</f>
        <v>0.8666666666666667</v>
      </c>
      <c r="D245" s="4">
        <f>D244/ COUNTA( $D$92:$D$121)</f>
        <v>0.76666666666666672</v>
      </c>
      <c r="E245" s="4">
        <f>E244/ COUNTA( $E$92:$E$121)</f>
        <v>0.8666666666666667</v>
      </c>
      <c r="F245" s="4">
        <f>F244/ COUNTA( $F$92:$F$121)</f>
        <v>0.8</v>
      </c>
      <c r="G245" s="5">
        <f>G244/ COUNTA( $G$92:$G$121)</f>
        <v>0.8</v>
      </c>
      <c r="H245" s="4">
        <f>H244/ COUNTA( $H$92:$H$121)</f>
        <v>0.66666666666666663</v>
      </c>
      <c r="I245" s="4">
        <f>I244/ COUNTA( $I$92:$I$121)</f>
        <v>0.76666666666666672</v>
      </c>
      <c r="J245" s="4">
        <f>J244/ COUNTA( $J$92:$J$121)</f>
        <v>0.8</v>
      </c>
      <c r="K245" s="4">
        <f>K244/ COUNTA( $K$92:$K$121)</f>
        <v>0.7</v>
      </c>
      <c r="L245" s="4">
        <f>L244/ COUNTA( $L$92:$L$121)</f>
        <v>0.7</v>
      </c>
      <c r="M245" s="5">
        <f>M244/ COUNTA( $M$92:$M$121)</f>
        <v>0.6333333333333333</v>
      </c>
      <c r="N245" s="4">
        <f>N244/ COUNTA( $N$92:$N$121)</f>
        <v>0.56666666666666665</v>
      </c>
      <c r="O245" s="4">
        <f>O244/ COUNTA( $O$92:$O$121)</f>
        <v>0.76666666666666672</v>
      </c>
      <c r="P245" s="4">
        <f>P244/ COUNTA( $P$92:$P$121)</f>
        <v>0.8</v>
      </c>
      <c r="Q245" s="4">
        <f>Q244/ COUNTA( $Q$92:$Q$121)</f>
        <v>0.8</v>
      </c>
      <c r="R245" s="4">
        <f>R244/ COUNTA( $R$92:$R$121)</f>
        <v>0.66666666666666663</v>
      </c>
      <c r="S245" s="4">
        <f>S244/ COUNTA( $S$92:$S$121)</f>
        <v>0.8666666666666667</v>
      </c>
    </row>
    <row r="246" spans="1:22">
      <c r="A246" s="1" t="s">
        <v>265</v>
      </c>
      <c r="B246" s="4" cm="1">
        <f t="array" ref="B246">SUM(COUNTIF($B$122:$B$151, {"correct"}))</f>
        <v>21</v>
      </c>
      <c r="C246" s="4" cm="1">
        <f t="array" ref="C246">SUM(COUNTIF($C$122:$C$151, {"correct"}))</f>
        <v>17</v>
      </c>
      <c r="D246" s="4" cm="1">
        <f t="array" ref="D246">SUM(COUNTIF($D$122:$D$151, {"correct"}))</f>
        <v>19</v>
      </c>
      <c r="E246" s="4" cm="1">
        <f t="array" ref="E246">SUM(COUNTIF($E$122:$E$151, {"correct"}))</f>
        <v>19</v>
      </c>
      <c r="F246" s="4" cm="1">
        <f t="array" ref="F246">SUM(COUNTIF($F$122:$F$151, {"correct"}))</f>
        <v>21</v>
      </c>
      <c r="G246" s="5" cm="1">
        <f t="array" ref="G246">SUM(COUNTIF($G$122:$G$151, {"correct"}))</f>
        <v>20</v>
      </c>
      <c r="H246" s="4" cm="1">
        <f t="array" ref="H246">SUM(COUNTIF($H$122:$H$151, {"correct"}))</f>
        <v>17</v>
      </c>
      <c r="I246" s="4" cm="1">
        <f t="array" ref="I246">SUM(COUNTIF($I$122:$I$151, {"correct"}))</f>
        <v>20</v>
      </c>
      <c r="J246" s="4" cm="1">
        <f t="array" ref="J246">SUM(COUNTIF($J$122:$J$151, {"correct"}))</f>
        <v>19</v>
      </c>
      <c r="K246" s="4" cm="1">
        <f t="array" ref="K246">SUM(COUNTIF($K$122:$K$151, {"correct"}))</f>
        <v>19</v>
      </c>
      <c r="L246" s="4" cm="1">
        <f t="array" ref="L246">SUM(COUNTIF($L$122:$L$151, {"correct"}))</f>
        <v>19</v>
      </c>
      <c r="M246" s="5" cm="1">
        <f t="array" ref="M246">SUM(COUNTIF($M$122:$M$151, {"correct"}))</f>
        <v>18</v>
      </c>
      <c r="N246" s="4" cm="1">
        <f t="array" ref="N246">SUM(COUNTIF($N$122:$N$151, {"correct"}))</f>
        <v>22</v>
      </c>
      <c r="O246" s="4" cm="1">
        <f t="array" ref="O246">SUM(COUNTIF($O$122:$O$151, {"correct"}))</f>
        <v>23</v>
      </c>
      <c r="P246" s="4" cm="1">
        <f t="array" ref="P246">SUM(COUNTIF($P$122:$P$151, {"correct"}))</f>
        <v>20</v>
      </c>
      <c r="Q246" s="4" cm="1">
        <f t="array" ref="Q246">SUM(COUNTIF($Q$122:$Q$151, {"correct"}))</f>
        <v>22</v>
      </c>
      <c r="R246" s="4" cm="1">
        <f t="array" ref="R246">SUM(COUNTIF($R$122:$R$151, {"correct"}))</f>
        <v>21</v>
      </c>
      <c r="S246" s="4" cm="1">
        <f t="array" ref="S246">SUM(COUNTIF($S$122:$S$151, {"correct"}))</f>
        <v>22</v>
      </c>
    </row>
    <row r="247" spans="1:22">
      <c r="A247" s="1" t="s">
        <v>266</v>
      </c>
      <c r="B247" s="4">
        <f>B246/ COUNTA( $B$122:$B$151)</f>
        <v>0.7</v>
      </c>
      <c r="C247" s="4">
        <f>C246/ COUNTA( $C$122:$C$151)</f>
        <v>0.56666666666666665</v>
      </c>
      <c r="D247" s="4">
        <f>D246/ COUNTA( $D$122:$D$151)</f>
        <v>0.6333333333333333</v>
      </c>
      <c r="E247" s="4">
        <f>E246/ COUNTA( $E$122:$E$151)</f>
        <v>0.6333333333333333</v>
      </c>
      <c r="F247" s="4">
        <f>F246/ COUNTA( $F$122:$F$151)</f>
        <v>0.7</v>
      </c>
      <c r="G247" s="5">
        <f>G246/ COUNTA( $G$122:$G$151)</f>
        <v>0.66666666666666663</v>
      </c>
      <c r="H247" s="4">
        <f>H246/ COUNTA( $H$122:$H$151)</f>
        <v>0.56666666666666665</v>
      </c>
      <c r="I247" s="4">
        <f>I246/ COUNTA( $I$122:$I$151)</f>
        <v>0.66666666666666663</v>
      </c>
      <c r="J247" s="4">
        <f>J246/ COUNTA( $J$122:$J$151)</f>
        <v>0.6333333333333333</v>
      </c>
      <c r="K247" s="4">
        <f>K246/ COUNTA( $K$122:$K$151)</f>
        <v>0.6333333333333333</v>
      </c>
      <c r="L247" s="4">
        <f>L246/ COUNTA( $L$122:$L$151)</f>
        <v>0.6333333333333333</v>
      </c>
      <c r="M247" s="5">
        <f>M246/ COUNTA( $M$122:$M$151)</f>
        <v>0.6</v>
      </c>
      <c r="N247" s="4">
        <f>N246/ COUNTA( $N$122:$N$151)</f>
        <v>0.73333333333333328</v>
      </c>
      <c r="O247" s="4">
        <f>O246/ COUNTA( $O$122:$O$151)</f>
        <v>0.76666666666666672</v>
      </c>
      <c r="P247" s="4">
        <f>P246/ COUNTA( $P$122:$P$151)</f>
        <v>0.66666666666666663</v>
      </c>
      <c r="Q247" s="4">
        <f>Q246/ COUNTA( $Q$122:$Q$151)</f>
        <v>0.73333333333333328</v>
      </c>
      <c r="R247" s="4">
        <f>R246/ COUNTA( $R$122:$R$151)</f>
        <v>0.7</v>
      </c>
      <c r="S247" s="4">
        <f>S246/ COUNTA( $S$122:$S$151)</f>
        <v>0.73333333333333328</v>
      </c>
    </row>
    <row r="248" spans="1:22">
      <c r="A248" s="1" t="s">
        <v>267</v>
      </c>
      <c r="B248" s="4" cm="1">
        <f t="array" ref="B248">SUM(COUNTIF($B$152:$B$183, {"correct"}))</f>
        <v>20</v>
      </c>
      <c r="C248" s="4" cm="1">
        <f t="array" ref="C248">SUM(COUNTIF($C$152:$C$183, {"correct"}))</f>
        <v>21</v>
      </c>
      <c r="D248" s="4" cm="1">
        <f t="array" ref="D248">SUM(COUNTIF($D$152:$D$183, {"correct"}))</f>
        <v>17</v>
      </c>
      <c r="E248" s="4" cm="1">
        <f t="array" ref="E248">SUM(COUNTIF($E$152:$E$183, {"correct"}))</f>
        <v>22</v>
      </c>
      <c r="F248" s="4" cm="1">
        <f t="array" ref="F248">SUM(COUNTIF($F$152:$F$183, {"correct"}))</f>
        <v>22</v>
      </c>
      <c r="G248" s="5" cm="1">
        <f t="array" ref="G248">SUM(COUNTIF($G$152:$G$183, {"correct"}))</f>
        <v>19</v>
      </c>
      <c r="H248" s="4" cm="1">
        <f t="array" ref="H248">SUM(COUNTIF($H$152:$H$183, {"correct"}))</f>
        <v>19</v>
      </c>
      <c r="I248" s="4" cm="1">
        <f t="array" ref="I248">SUM(COUNTIF($I$152:$I$183, {"correct"}))</f>
        <v>21</v>
      </c>
      <c r="J248" s="4" cm="1">
        <f t="array" ref="J248">SUM(COUNTIF($J$152:$J$183, {"correct"}))</f>
        <v>21</v>
      </c>
      <c r="K248" s="4" cm="1">
        <f t="array" ref="K248">SUM(COUNTIF($K$152:$K$183, {"correct"}))</f>
        <v>18</v>
      </c>
      <c r="L248" s="4" cm="1">
        <f t="array" ref="L248">SUM(COUNTIF($L$152:$L$183, {"correct"}))</f>
        <v>19</v>
      </c>
      <c r="M248" s="5" cm="1">
        <f t="array" ref="M248">SUM(COUNTIF($M$152:$M$183, {"correct"}))</f>
        <v>18</v>
      </c>
      <c r="N248" s="4" cm="1">
        <f t="array" ref="N248">SUM(COUNTIF($N$152:$N$183, {"correct"}))</f>
        <v>21</v>
      </c>
      <c r="O248" s="4" cm="1">
        <f t="array" ref="O248">SUM(COUNTIF($O$152:$O$183, {"correct"}))</f>
        <v>22</v>
      </c>
      <c r="P248" s="4" cm="1">
        <f t="array" ref="P248">SUM(COUNTIF($P$152:$P$183, {"correct"}))</f>
        <v>22</v>
      </c>
      <c r="Q248" s="4" cm="1">
        <f t="array" ref="Q248">SUM(COUNTIF($Q$152:$Q$183, {"correct"}))</f>
        <v>22</v>
      </c>
      <c r="R248" s="4" cm="1">
        <f t="array" ref="R248">SUM(COUNTIF($R$152:$R$183, {"correct"}))</f>
        <v>21</v>
      </c>
      <c r="S248" s="4" cm="1">
        <f t="array" ref="S248">SUM(COUNTIF($S$152:$S$183, {"correct"}))</f>
        <v>23</v>
      </c>
    </row>
    <row r="249" spans="1:22">
      <c r="A249" s="1" t="s">
        <v>268</v>
      </c>
      <c r="B249" s="4">
        <f>B248/ COUNTA( $B$152:$B$183)</f>
        <v>0.625</v>
      </c>
      <c r="C249" s="4">
        <f>C248/ COUNTA( $C$152:$C$183)</f>
        <v>0.65625</v>
      </c>
      <c r="D249" s="4">
        <f>D248/ COUNTA( $D$152:$D$183)</f>
        <v>0.53125</v>
      </c>
      <c r="E249" s="4">
        <f>E248/ COUNTA( $E$152:$E$183)</f>
        <v>0.6875</v>
      </c>
      <c r="F249" s="4">
        <f>F248/ COUNTA( $F$152:$F$183)</f>
        <v>0.6875</v>
      </c>
      <c r="G249" s="5">
        <f>G248/ COUNTA( $G$152:$G$183)</f>
        <v>0.59375</v>
      </c>
      <c r="H249" s="4">
        <f>H248/ COUNTA( $H$152:$H$183)</f>
        <v>0.59375</v>
      </c>
      <c r="I249" s="4">
        <f>I248/ COUNTA( $I$152:$I$183)</f>
        <v>0.65625</v>
      </c>
      <c r="J249" s="4">
        <f>J248/ COUNTA( $J$152:$J$183)</f>
        <v>0.65625</v>
      </c>
      <c r="K249" s="4">
        <f>K248/ COUNTA( $K$152:$K$183)</f>
        <v>0.5625</v>
      </c>
      <c r="L249" s="4">
        <f>L248/ COUNTA( $L$152:$L$183)</f>
        <v>0.59375</v>
      </c>
      <c r="M249" s="5">
        <f>M248/ COUNTA( $M$152:$M$183)</f>
        <v>0.5625</v>
      </c>
      <c r="N249" s="4">
        <f>N248/ COUNTA( $N$152:$N$183)</f>
        <v>0.65625</v>
      </c>
      <c r="O249" s="4">
        <f>O248/ COUNTA( $O$152:$O$183)</f>
        <v>0.6875</v>
      </c>
      <c r="P249" s="4">
        <f>P248/ COUNTA( $P$152:$P$183)</f>
        <v>0.6875</v>
      </c>
      <c r="Q249" s="4">
        <f>Q248/ COUNTA( $Q$152:$Q$183)</f>
        <v>0.6875</v>
      </c>
      <c r="R249" s="4">
        <f>R248/ COUNTA( $R$152:$R$183)</f>
        <v>0.65625</v>
      </c>
      <c r="S249" s="4">
        <f>S248/ COUNTA( $S$152:$S$183)</f>
        <v>0.71875</v>
      </c>
    </row>
    <row r="250" spans="1:22">
      <c r="A250" s="1" t="s">
        <v>269</v>
      </c>
      <c r="B250" s="4" cm="1">
        <f t="array" ref="B250">SUM(COUNTIF($B$184:$B$223, {"correct"}))</f>
        <v>34</v>
      </c>
      <c r="C250" s="4" cm="1">
        <f t="array" ref="C250">SUM(COUNTIF($C$184:$C$223, {"correct"}))</f>
        <v>37</v>
      </c>
      <c r="D250" s="4" cm="1">
        <f t="array" ref="D250">SUM(COUNTIF($D$184:$D$223, {"correct"}))</f>
        <v>34</v>
      </c>
      <c r="E250" s="4" cm="1">
        <f t="array" ref="E250">SUM(COUNTIF($E$184:$E$223, {"correct"}))</f>
        <v>35</v>
      </c>
      <c r="F250" s="4" cm="1">
        <f t="array" ref="F250">SUM(COUNTIF($F$184:$F$223, {"correct"}))</f>
        <v>33</v>
      </c>
      <c r="G250" s="5" cm="1">
        <f t="array" ref="G250">SUM(COUNTIF($G$184:$G$223, {"correct"}))</f>
        <v>35</v>
      </c>
      <c r="H250" s="4" cm="1">
        <f t="array" ref="H250">SUM(COUNTIF($H$184:$H$223, {"correct"}))</f>
        <v>39</v>
      </c>
      <c r="I250" s="4" cm="1">
        <f t="array" ref="I250">SUM(COUNTIF($I$184:$I$223, {"correct"}))</f>
        <v>38</v>
      </c>
      <c r="J250" s="4" cm="1">
        <f t="array" ref="J250">SUM(COUNTIF($J$184:$J$223, {"correct"}))</f>
        <v>35</v>
      </c>
      <c r="K250" s="4" cm="1">
        <f t="array" ref="K250">SUM(COUNTIF($K$184:$K$223, {"correct"}))</f>
        <v>33</v>
      </c>
      <c r="L250" s="4" cm="1">
        <f t="array" ref="L250">SUM(COUNTIF($L$184:$L$223, {"correct"}))</f>
        <v>37</v>
      </c>
      <c r="M250" s="5" cm="1">
        <f t="array" ref="M250">SUM(COUNTIF($M$184:$M$223, {"correct"}))</f>
        <v>34</v>
      </c>
      <c r="N250" s="4" cm="1">
        <f t="array" ref="N250">SUM(COUNTIF($N$184:$N$223, {"correct"}))</f>
        <v>37</v>
      </c>
      <c r="O250" s="4" cm="1">
        <f t="array" ref="O250">SUM(COUNTIF($O$184:$O$223, {"correct"}))</f>
        <v>38</v>
      </c>
      <c r="P250" s="4" cm="1">
        <f t="array" ref="P250">SUM(COUNTIF($P$184:$P$223, {"correct"}))</f>
        <v>35</v>
      </c>
      <c r="Q250" s="4" cm="1">
        <f t="array" ref="Q250">SUM(COUNTIF($Q$184:$Q$223, {"correct"}))</f>
        <v>37</v>
      </c>
      <c r="R250" s="4" cm="1">
        <f t="array" ref="R250">SUM(COUNTIF($R$184:$R$223, {"correct"}))</f>
        <v>36</v>
      </c>
      <c r="S250" s="4" cm="1">
        <f t="array" ref="S250">SUM(COUNTIF($S$184:$S$223, {"correct"}))</f>
        <v>37</v>
      </c>
    </row>
    <row r="251" spans="1:22">
      <c r="A251" s="1" t="s">
        <v>270</v>
      </c>
      <c r="B251" s="4">
        <f>B250/ COUNTA( $B$184:$B$223)</f>
        <v>0.85</v>
      </c>
      <c r="C251" s="4">
        <f>C250/ COUNTA( $C$184:$C$223)</f>
        <v>0.92500000000000004</v>
      </c>
      <c r="D251" s="4">
        <f>D250/ COUNTA( $D$184:$D$223)</f>
        <v>0.85</v>
      </c>
      <c r="E251" s="4">
        <f>E250/ COUNTA( $E$184:$E$223)</f>
        <v>0.875</v>
      </c>
      <c r="F251" s="4">
        <f>F250/ COUNTA( $F$184:$F$223)</f>
        <v>0.82499999999999996</v>
      </c>
      <c r="G251" s="5">
        <f>G250/ COUNTA( $G$184:$G$223)</f>
        <v>0.875</v>
      </c>
      <c r="H251" s="4">
        <f>H250/ COUNTA( $H$184:$H$223)</f>
        <v>0.97499999999999998</v>
      </c>
      <c r="I251" s="4">
        <f>I250/ COUNTA( $I$184:$I$223)</f>
        <v>0.95</v>
      </c>
      <c r="J251" s="4">
        <f>J250/ COUNTA( $J$184:$J$223)</f>
        <v>0.875</v>
      </c>
      <c r="K251" s="4">
        <f>K250/ COUNTA( $K$184:$K$223)</f>
        <v>0.82499999999999996</v>
      </c>
      <c r="L251" s="4">
        <f>L250/ COUNTA( $L$184:$L$223)</f>
        <v>0.92500000000000004</v>
      </c>
      <c r="M251" s="5">
        <f>M250/ COUNTA( $M$184:$M$223)</f>
        <v>0.85</v>
      </c>
      <c r="N251" s="4">
        <f>N250/ COUNTA( $N$184:$N$223)</f>
        <v>0.92500000000000004</v>
      </c>
      <c r="O251" s="4">
        <f>O250/ COUNTA( $O$184:$O$223)</f>
        <v>0.95</v>
      </c>
      <c r="P251" s="4">
        <f>P250/ COUNTA( $P$184:$P$223)</f>
        <v>0.875</v>
      </c>
      <c r="Q251" s="4">
        <f>Q250/ COUNTA( $Q$184:$Q$223)</f>
        <v>0.92500000000000004</v>
      </c>
      <c r="R251" s="4">
        <f>R250/ COUNTA( $R$184:$R$223)</f>
        <v>0.9</v>
      </c>
      <c r="S251" s="4">
        <f>S250/ COUNTA( $S$184:$S$223)</f>
        <v>0.92500000000000004</v>
      </c>
    </row>
    <row r="252" spans="1:22">
      <c r="A252" s="1" t="s">
        <v>271</v>
      </c>
      <c r="B252" s="4">
        <f>B238+B240+B242+B244+B246+B248+B250</f>
        <v>150</v>
      </c>
      <c r="C252" s="4">
        <f>C238+C240+C242+C244+C246+C248+C250</f>
        <v>163</v>
      </c>
      <c r="D252" s="4">
        <f>D238+D240+D242+D244+D246+D248+D250</f>
        <v>161</v>
      </c>
      <c r="E252" s="4">
        <f>E238+E240+E242+E244+E246+E248+E250</f>
        <v>165</v>
      </c>
      <c r="F252" s="4">
        <f>F238+F240+F242+F244+F246+F248+F250</f>
        <v>165</v>
      </c>
      <c r="G252" s="5">
        <f>G238+G240+G242+G244+G246+G248+G250</f>
        <v>160</v>
      </c>
      <c r="H252" s="4">
        <f t="shared" ref="H252:S252" si="0">H238+H240+H242+H244+H246+H248+H250</f>
        <v>155</v>
      </c>
      <c r="I252" s="4">
        <f t="shared" si="0"/>
        <v>173</v>
      </c>
      <c r="J252" s="4">
        <f>J238+J240+J242+J244+J246+J248+J250</f>
        <v>166</v>
      </c>
      <c r="K252" s="4">
        <f t="shared" si="0"/>
        <v>156</v>
      </c>
      <c r="L252" s="4">
        <f t="shared" si="0"/>
        <v>163</v>
      </c>
      <c r="M252" s="5">
        <f t="shared" si="0"/>
        <v>155</v>
      </c>
      <c r="N252" s="4">
        <f t="shared" si="0"/>
        <v>169</v>
      </c>
      <c r="O252" s="4">
        <f t="shared" si="0"/>
        <v>179</v>
      </c>
      <c r="P252" s="4">
        <f t="shared" si="0"/>
        <v>177</v>
      </c>
      <c r="Q252" s="4">
        <f t="shared" si="0"/>
        <v>181</v>
      </c>
      <c r="R252" s="4">
        <f t="shared" si="0"/>
        <v>171</v>
      </c>
      <c r="S252" s="4">
        <f t="shared" si="0"/>
        <v>182</v>
      </c>
    </row>
    <row r="253" spans="1:22">
      <c r="A253" s="2" t="s">
        <v>272</v>
      </c>
      <c r="B253" s="6">
        <f>B252/222</f>
        <v>0.67567567567567566</v>
      </c>
      <c r="C253" s="6">
        <f>C252/222</f>
        <v>0.73423423423423428</v>
      </c>
      <c r="D253" s="6">
        <f>D252/222</f>
        <v>0.72522522522522526</v>
      </c>
      <c r="E253" s="6">
        <f>E252/222</f>
        <v>0.7432432432432432</v>
      </c>
      <c r="F253" s="6">
        <f>F252/222</f>
        <v>0.7432432432432432</v>
      </c>
      <c r="G253" s="7">
        <f>G252/222</f>
        <v>0.72072072072072069</v>
      </c>
      <c r="H253" s="6">
        <f t="shared" ref="H253:S253" si="1">H252/222</f>
        <v>0.69819819819819817</v>
      </c>
      <c r="I253" s="6">
        <f t="shared" si="1"/>
        <v>0.77927927927927931</v>
      </c>
      <c r="J253" s="6">
        <f>J252/222</f>
        <v>0.74774774774774777</v>
      </c>
      <c r="K253" s="6">
        <f t="shared" si="1"/>
        <v>0.70270270270270274</v>
      </c>
      <c r="L253" s="6">
        <f t="shared" si="1"/>
        <v>0.73423423423423428</v>
      </c>
      <c r="M253" s="7">
        <f t="shared" si="1"/>
        <v>0.69819819819819817</v>
      </c>
      <c r="N253" s="6">
        <f t="shared" si="1"/>
        <v>0.76126126126126126</v>
      </c>
      <c r="O253" s="6">
        <f t="shared" si="1"/>
        <v>0.80630630630630629</v>
      </c>
      <c r="P253" s="6">
        <f t="shared" si="1"/>
        <v>0.79729729729729726</v>
      </c>
      <c r="Q253" s="6">
        <f t="shared" si="1"/>
        <v>0.81531531531531531</v>
      </c>
      <c r="R253" s="6">
        <f t="shared" si="1"/>
        <v>0.77027027027027029</v>
      </c>
      <c r="S253" s="6">
        <f t="shared" si="1"/>
        <v>0.81981981981981977</v>
      </c>
      <c r="T253" s="3"/>
      <c r="U253" s="3"/>
      <c r="V253" s="3"/>
    </row>
    <row r="254" spans="1:22">
      <c r="A254" t="s">
        <v>273</v>
      </c>
      <c r="B254" s="4">
        <f>COUNTIFS($B$2:$B$223, "wrong", $A$2:$A$223, "*reproduced*")</f>
        <v>21</v>
      </c>
      <c r="C254" s="4">
        <f>COUNTIFS($C$2:$C$223, "wrong", $A$2:$A$223, "*reproduced*")</f>
        <v>12</v>
      </c>
      <c r="D254" s="4">
        <f>COUNTIFS($D$2:$D$223, "wrong", $A$2:$A$223, "*reproduced*")</f>
        <v>16</v>
      </c>
      <c r="E254" s="4">
        <f>COUNTIFS($E$2:$E$223, "wrong", $A$2:$A$223, "*reproduced*")</f>
        <v>14</v>
      </c>
      <c r="F254" s="4">
        <f>COUNTIFS($F$2:$F$223, "wrong", $A$2:$A$223, "*reproduced*")</f>
        <v>17</v>
      </c>
      <c r="G254" s="5">
        <f>COUNTIFS($G$2:$G$223, "wrong", $A$2:$A$223, "*reproduced*")</f>
        <v>14</v>
      </c>
      <c r="H254" s="4">
        <f>COUNTIFS($H$2:$H$223, "wrong", $A$2:$A$223, "*reproduced*")</f>
        <v>40</v>
      </c>
      <c r="I254" s="4">
        <f>COUNTIFS($I$2:$I$223, "wrong", $A$2:$A$223, "*reproduced*")</f>
        <v>37</v>
      </c>
      <c r="J254" s="4">
        <f>COUNTIFS($J$2:$J$223, "wrong", $A$2:$A$223, "*reproduced*")</f>
        <v>42</v>
      </c>
      <c r="K254" s="4">
        <f>COUNTIFS($K$2:$K$223, "wrong", $A$2:$A$223, "*reproduced*")</f>
        <v>46</v>
      </c>
      <c r="L254" s="4">
        <f>COUNTIFS($L$2:$L$223, "wrong", $A$2:$A$223, "*reproduced*")</f>
        <v>43</v>
      </c>
      <c r="M254" s="5">
        <f>COUNTIFS($M$2:$M$223, "wrong", $A$2:$A$223, "*reproduced*")</f>
        <v>39</v>
      </c>
      <c r="N254" s="4">
        <f>COUNTIFS($N$2:$N$223, "wrong", $A$2:$A$223, "*reproduced*")</f>
        <v>32</v>
      </c>
      <c r="O254" s="4">
        <f>COUNTIFS($O$2:$O$223, "wrong", $A$2:$A$223, "*reproduced*")</f>
        <v>23</v>
      </c>
      <c r="P254" s="4">
        <f>COUNTIFS($P$2:$P$223, "wrong", $A$2:$A$223, "*reproduced*")</f>
        <v>25</v>
      </c>
      <c r="Q254" s="4">
        <f>COUNTIFS($Q$2:$Q$223, "wrong", $A$2:$A$223, "*reproduced*")</f>
        <v>24</v>
      </c>
      <c r="R254" s="4">
        <f>COUNTIFS($R$2:$R$223, "wrong", $A$2:$A$223, "*reproduced*")</f>
        <v>31</v>
      </c>
      <c r="S254" s="4">
        <f>COUNTIFS($S$2:$S$223, "wrong", $A$2:$A$223, "*reproduced*")</f>
        <v>20</v>
      </c>
    </row>
    <row r="255" spans="1:22">
      <c r="A255" t="s">
        <v>274</v>
      </c>
      <c r="B255" s="4" cm="1">
        <f t="array" ref="B255">SUM(COUNTIF($B$2:$B$223, {"partially correct"}))</f>
        <v>0</v>
      </c>
      <c r="C255" s="4" cm="1">
        <f t="array" ref="C255">SUM(COUNTIF($C$2:$C$223, {"partially correct"}))</f>
        <v>0</v>
      </c>
      <c r="D255" s="4" cm="1">
        <f t="array" ref="D255">SUM(COUNTIF($D$2:$D$223, {"partially correct"}))</f>
        <v>0</v>
      </c>
      <c r="E255" s="4" cm="1">
        <f t="array" ref="E255">SUM(COUNTIF($E$2:$E$223, {"partially correct"}))</f>
        <v>0</v>
      </c>
      <c r="F255" s="4" cm="1">
        <f t="array" ref="F255">SUM(COUNTIF($F$2:$F$223, {"partially correct"}))</f>
        <v>0</v>
      </c>
      <c r="G255" s="5" cm="1">
        <f t="array" ref="G255">SUM(COUNTIF($G$2:$G$223, {"partially correct"}))</f>
        <v>0</v>
      </c>
      <c r="H255" s="4" cm="1">
        <f t="array" ref="H255">SUM(COUNTIF($H$2:$H$223, {"partially correct"}))</f>
        <v>0</v>
      </c>
      <c r="I255" s="4" cm="1">
        <f t="array" ref="I255">SUM(COUNTIF($I$2:$I$223, {"partially correct"}))</f>
        <v>0</v>
      </c>
      <c r="J255" s="4" cm="1">
        <f t="array" ref="J255">SUM(COUNTIF($J$2:$J$223, {"partially correct"}))</f>
        <v>0</v>
      </c>
      <c r="K255" s="4" cm="1">
        <f t="array" ref="K255">SUM(COUNTIF($K$2:$K$223, {"partially correct"}))</f>
        <v>0</v>
      </c>
      <c r="L255" s="4" cm="1">
        <f t="array" ref="L255">SUM(COUNTIF($L$2:$L$223, {"partially correct"}))</f>
        <v>0</v>
      </c>
      <c r="M255" s="5" cm="1">
        <f t="array" ref="M255">SUM(COUNTIF($M$2:$M$223, {"partially correct"}))</f>
        <v>0</v>
      </c>
      <c r="N255" s="4" cm="1">
        <f t="array" ref="N255">SUM(COUNTIF($N$2:$N$223, {"partially correct"}))</f>
        <v>0</v>
      </c>
      <c r="O255" s="4" cm="1">
        <f t="array" ref="O255">SUM(COUNTIF($O$2:$O$223, {"partially correct"}))</f>
        <v>0</v>
      </c>
      <c r="P255" s="4" cm="1">
        <f t="array" ref="P255">SUM(COUNTIF($P$2:$P$223, {"partially correct"}))</f>
        <v>0</v>
      </c>
      <c r="Q255" s="4" cm="1">
        <f t="array" ref="Q255">SUM(COUNTIF($Q$2:$Q$223, {"partially correct"}))</f>
        <v>0</v>
      </c>
      <c r="R255" s="4" cm="1">
        <f t="array" ref="R255">SUM(COUNTIF($R$2:$R$223, {"partially correct"}))</f>
        <v>0</v>
      </c>
      <c r="S255" s="4" cm="1">
        <f t="array" ref="S255">SUM(COUNTIF($S$2:$S$223, {"partially correct"}))</f>
        <v>0</v>
      </c>
    </row>
    <row r="256" spans="1:22">
      <c r="A256" t="s">
        <v>275</v>
      </c>
      <c r="B256" s="4" cm="1">
        <f t="array" ref="B256">SUM(COUNTIF($B$2:$B$223, {"reasoning wrong"}))</f>
        <v>0</v>
      </c>
      <c r="C256" s="4" cm="1">
        <f t="array" ref="C256">SUM(COUNTIF($C$2:$C$223, {"reasoning wrong"}))</f>
        <v>0</v>
      </c>
      <c r="D256" s="4" cm="1">
        <f t="array" ref="D256">SUM(COUNTIF($D$2:$D$223, {"reasoning wrong"}))</f>
        <v>0</v>
      </c>
      <c r="E256" s="4" cm="1">
        <f t="array" ref="E256">SUM(COUNTIF($E$2:$E$223, {"reasoning wrong"}))</f>
        <v>0</v>
      </c>
      <c r="F256" s="4" cm="1">
        <f t="array" ref="F256">SUM(COUNTIF($F$2:$F$223, {"reasoning wrong"}))</f>
        <v>0</v>
      </c>
      <c r="G256" s="5" cm="1">
        <f t="array" ref="G256">SUM(COUNTIF($G$2:$G$223, {"reasoning wrong"}))</f>
        <v>0</v>
      </c>
      <c r="H256" s="4" cm="1">
        <f t="array" ref="H256">SUM(COUNTIF($H$2:$H$223, {"reasoning wrong"}))</f>
        <v>0</v>
      </c>
      <c r="I256" s="4" cm="1">
        <f t="array" ref="I256">SUM(COUNTIF($I$2:$I$223, {"reasoning wrong"}))</f>
        <v>0</v>
      </c>
      <c r="J256" s="4" cm="1">
        <f t="array" ref="J256">SUM(COUNTIF($J$2:$J$223, {"reasoning wrong"}))</f>
        <v>0</v>
      </c>
      <c r="K256" s="4" cm="1">
        <f t="array" ref="K256">SUM(COUNTIF($K$2:$K$223, {"reasoning wrong"}))</f>
        <v>0</v>
      </c>
      <c r="L256" s="4" cm="1">
        <f t="array" ref="L256">SUM(COUNTIF($L$2:$L$223, {"reasoning wrong"}))</f>
        <v>0</v>
      </c>
      <c r="M256" s="5" cm="1">
        <f t="array" ref="M256">SUM(COUNTIF($M$2:$M$223, {"reasoning wrong"}))</f>
        <v>0</v>
      </c>
      <c r="N256" s="4" cm="1">
        <f t="array" ref="N256">SUM(COUNTIF($N$2:$N$223, {"reasoning wrong"}))</f>
        <v>0</v>
      </c>
      <c r="O256" s="4" cm="1">
        <f t="array" ref="O256">SUM(COUNTIF($O$2:$O$223, {"reasoning wrong"}))</f>
        <v>0</v>
      </c>
      <c r="P256" s="4" cm="1">
        <f t="array" ref="P256">SUM(COUNTIF($P$2:$P$223, {"reasoning wrong"}))</f>
        <v>0</v>
      </c>
      <c r="Q256" s="4" cm="1">
        <f t="array" ref="Q256">SUM(COUNTIF($Q$2:$Q$223, {"reasoning wrong"}))</f>
        <v>0</v>
      </c>
      <c r="R256" s="4" cm="1">
        <f t="array" ref="R256">SUM(COUNTIF($R$2:$R$223, {"reasoning wrong"}))</f>
        <v>0</v>
      </c>
      <c r="S256" s="4" cm="1">
        <f t="array" ref="S256">SUM(COUNTIF($S$2:$S$223, {"reasoning wrong"}))</f>
        <v>0</v>
      </c>
    </row>
  </sheetData>
  <autoFilter ref="A1:S25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1362-5DBC-425E-BB32-686ABB43A22E}">
  <dimension ref="A1:AD101"/>
  <sheetViews>
    <sheetView tabSelected="1" topLeftCell="N1" workbookViewId="0">
      <selection activeCell="AA27" sqref="AA27:AD27"/>
    </sheetView>
  </sheetViews>
  <sheetFormatPr defaultRowHeight="15"/>
  <cols>
    <col min="1" max="1" width="19.7109375" customWidth="1"/>
    <col min="11" max="12" width="12.5703125" bestFit="1" customWidth="1"/>
    <col min="17" max="17" width="12.85546875" bestFit="1" customWidth="1"/>
    <col min="18" max="18" width="13.28515625" bestFit="1" customWidth="1"/>
    <col min="20" max="20" width="13.85546875" bestFit="1" customWidth="1"/>
    <col min="21" max="21" width="12.140625" bestFit="1" customWidth="1"/>
    <col min="22" max="22" width="12.5703125" bestFit="1" customWidth="1"/>
    <col min="24" max="24" width="12.5703125" bestFit="1" customWidth="1"/>
    <col min="27" max="27" width="12.85546875" bestFit="1" customWidth="1"/>
    <col min="28" max="28" width="13.28515625" bestFit="1" customWidth="1"/>
    <col min="29" max="29" width="9.28515625" bestFit="1" customWidth="1"/>
  </cols>
  <sheetData>
    <row r="1" spans="1:28">
      <c r="A1" t="s">
        <v>276</v>
      </c>
      <c r="T1" t="s">
        <v>277</v>
      </c>
    </row>
    <row r="2" spans="1:28">
      <c r="T2" s="33" t="s">
        <v>278</v>
      </c>
      <c r="U2" s="35" t="s">
        <v>279</v>
      </c>
      <c r="V2" s="36"/>
      <c r="W2" s="36"/>
      <c r="X2" s="36"/>
      <c r="Y2" s="36"/>
      <c r="Z2" s="36"/>
      <c r="AA2" s="36"/>
      <c r="AB2" s="37"/>
    </row>
    <row r="3" spans="1:28">
      <c r="A3" s="12" t="s">
        <v>280</v>
      </c>
      <c r="B3" s="13" t="s">
        <v>281</v>
      </c>
      <c r="C3" s="13" t="s">
        <v>282</v>
      </c>
      <c r="D3" s="13" t="s">
        <v>283</v>
      </c>
      <c r="E3" s="13" t="s">
        <v>284</v>
      </c>
      <c r="F3" s="13" t="s">
        <v>285</v>
      </c>
      <c r="G3" s="13" t="s">
        <v>286</v>
      </c>
      <c r="H3" s="14" t="s">
        <v>287</v>
      </c>
      <c r="I3" s="13" t="s">
        <v>288</v>
      </c>
      <c r="J3" s="13" t="s">
        <v>289</v>
      </c>
      <c r="K3" s="13" t="s">
        <v>290</v>
      </c>
      <c r="L3" s="13" t="s">
        <v>291</v>
      </c>
      <c r="M3" s="13" t="s">
        <v>292</v>
      </c>
      <c r="N3" s="13" t="s">
        <v>293</v>
      </c>
      <c r="O3" s="13" t="s">
        <v>294</v>
      </c>
      <c r="P3" s="13" t="s">
        <v>295</v>
      </c>
      <c r="Q3" s="13" t="s">
        <v>296</v>
      </c>
      <c r="R3" s="14" t="s">
        <v>297</v>
      </c>
      <c r="T3" s="34"/>
      <c r="U3" s="16" t="s">
        <v>290</v>
      </c>
      <c r="V3" s="13" t="s">
        <v>291</v>
      </c>
      <c r="W3" s="13" t="s">
        <v>292</v>
      </c>
      <c r="X3" s="13" t="s">
        <v>293</v>
      </c>
      <c r="Y3" s="13" t="s">
        <v>294</v>
      </c>
      <c r="Z3" s="13" t="s">
        <v>295</v>
      </c>
      <c r="AA3" s="13" t="s">
        <v>296</v>
      </c>
      <c r="AB3" s="17" t="s">
        <v>297</v>
      </c>
    </row>
    <row r="4" spans="1:28">
      <c r="A4" s="15" t="s">
        <v>298</v>
      </c>
      <c r="B4">
        <v>30</v>
      </c>
      <c r="C4">
        <f ca="1">Final_evaluation!$B$224</f>
        <v>9</v>
      </c>
      <c r="D4">
        <f ca="1">Final_evaluation!$C$224</f>
        <v>11</v>
      </c>
      <c r="E4">
        <f ca="1">Final_evaluation!$B$225</f>
        <v>2</v>
      </c>
      <c r="F4">
        <f ca="1">Final_evaluation!$C$225</f>
        <v>1</v>
      </c>
      <c r="G4">
        <f ca="1">C4/B4</f>
        <v>0.3</v>
      </c>
      <c r="H4">
        <f ca="1">D4/B4</f>
        <v>0.36666666666666664</v>
      </c>
      <c r="I4">
        <f ca="1">E4/B4</f>
        <v>6.6666666666666666E-2</v>
      </c>
      <c r="J4">
        <f ca="1">F4/B4</f>
        <v>3.3333333333333333E-2</v>
      </c>
      <c r="K4">
        <f ca="1">($B$4/2-$E$4)/(($B$4/2-$E$4)+$C$4)</f>
        <v>0.59090909090909094</v>
      </c>
      <c r="L4">
        <f ca="1">($B$4/2-$F$4)/(($B$4/2-$F$4)+$D$4)</f>
        <v>0.56000000000000005</v>
      </c>
      <c r="M4">
        <f ca="1">($B$4/2-$E$4)/($B$4/2)</f>
        <v>0.8666666666666667</v>
      </c>
      <c r="N4">
        <f ca="1">($B$4/2-$F$4)/($B$4/2)</f>
        <v>0.93333333333333335</v>
      </c>
      <c r="O4">
        <f ca="1">$K$4*$M$4*2/($K$4+$M$4)</f>
        <v>0.70270270270270285</v>
      </c>
      <c r="P4">
        <f ca="1">$L$4*$N$4*2/($L$4+$N$4)</f>
        <v>0.70000000000000007</v>
      </c>
      <c r="Q4">
        <f ca="1">($B$4-$C$4-$E$4)/$B$4</f>
        <v>0.6333333333333333</v>
      </c>
      <c r="R4">
        <f ca="1">($B$4-$D$4-$F$4)/$B$4</f>
        <v>0.6</v>
      </c>
      <c r="T4" t="s">
        <v>299</v>
      </c>
      <c r="U4" s="19">
        <f ca="1">($B$11/2-$E$11)/(($B$11/2-$E$11)+$C$11)</f>
        <v>0.63829787234042556</v>
      </c>
      <c r="V4" s="18">
        <f ca="1">($B$11/2-$F$11)/(($B$11/2-$F$11)+$D$11)</f>
        <v>0.67808219178082196</v>
      </c>
      <c r="W4" s="18">
        <f ca="1">($B$11/2-$E$11)/($B$11/2)</f>
        <v>0.81081081081081086</v>
      </c>
      <c r="X4" s="18">
        <f ca="1">($B$11/2-$F$11)/($B$11/2)</f>
        <v>0.89189189189189189</v>
      </c>
      <c r="Y4" s="18">
        <f ca="1">$K$11*$M$11*2/($K$11+$M$11)</f>
        <v>0.7142857142857143</v>
      </c>
      <c r="Z4" s="18">
        <f ca="1">$L$11*$N$11*2/($L$11+$N$11)</f>
        <v>0.77042801556420237</v>
      </c>
      <c r="AA4" s="18">
        <f ca="1">($B$11-$C$11-$E$11)/$B$11</f>
        <v>0.67567567567567566</v>
      </c>
      <c r="AB4" s="23">
        <f ca="1">($B$11-$D$11-$F$11)/$B$11</f>
        <v>0.73423423423423428</v>
      </c>
    </row>
    <row r="5" spans="1:28">
      <c r="A5" s="15" t="s">
        <v>300</v>
      </c>
      <c r="B5">
        <v>30</v>
      </c>
      <c r="C5">
        <f ca="1">Final_evaluation!$B$226</f>
        <v>10</v>
      </c>
      <c r="D5">
        <f ca="1">Final_evaluation!$C$226</f>
        <v>10</v>
      </c>
      <c r="E5">
        <f ca="1">Final_evaluation!$B$227</f>
        <v>4</v>
      </c>
      <c r="F5">
        <f ca="1">Final_evaluation!$C$227</f>
        <v>2</v>
      </c>
      <c r="G5">
        <f t="shared" ref="G5:G11" ca="1" si="0">C5/B5</f>
        <v>0.33333333333333331</v>
      </c>
      <c r="H5">
        <f t="shared" ref="H5:H11" ca="1" si="1">D5/B5</f>
        <v>0.33333333333333331</v>
      </c>
      <c r="I5">
        <f ca="1">E5/B5</f>
        <v>0.13333333333333333</v>
      </c>
      <c r="J5">
        <f ca="1">F5/B5</f>
        <v>6.6666666666666666E-2</v>
      </c>
      <c r="K5">
        <f ca="1">($B$5/2-$E$5)/(($B$5/2-$E$5)+$C$5)</f>
        <v>0.52380952380952384</v>
      </c>
      <c r="L5">
        <f ca="1">($B$5/2-$F$5)/(($B$5/2-$F$5)+$D$5)</f>
        <v>0.56521739130434778</v>
      </c>
      <c r="M5">
        <f ca="1">($B$5/2-$E$5)/($B$5/2)</f>
        <v>0.73333333333333328</v>
      </c>
      <c r="N5">
        <f ca="1">($B$5/2-$F$5)/($B$5/2)</f>
        <v>0.8666666666666667</v>
      </c>
      <c r="O5">
        <f ca="1">$K$5*$M$5*2/($K$5+$M$5)</f>
        <v>0.61111111111111105</v>
      </c>
      <c r="P5">
        <f ca="1">$L$5*$N$5*2/($L$5+$N$5)</f>
        <v>0.68421052631578949</v>
      </c>
      <c r="Q5">
        <f ca="1">($B$5-$C$5-$E$5)/$B$5</f>
        <v>0.53333333333333333</v>
      </c>
      <c r="R5">
        <f ca="1">($B$5-$D$5-$F$5)/$B$5</f>
        <v>0.6</v>
      </c>
      <c r="T5" t="s">
        <v>301</v>
      </c>
      <c r="U5" s="19">
        <f ca="1">($B$22/2-$E$22)/(($B$22/2-$E$22)+$C$22)</f>
        <v>0.72448979591836737</v>
      </c>
      <c r="V5" s="18">
        <f ca="1">($B$22/2-$F$22)/(($B$22/2-$F$22)+$D$22)</f>
        <v>0.86046511627906974</v>
      </c>
      <c r="W5" s="18">
        <f ca="1">($B$22/2-$E$22)/($B$22/2)</f>
        <v>0.63963963963963966</v>
      </c>
      <c r="X5" s="18">
        <f ca="1">($B$22/2-$F$22)/($B$22/2)</f>
        <v>0.66666666666666663</v>
      </c>
      <c r="Y5" s="18">
        <f ca="1">$K$22*$M$22*2/($K$22+$M$22)</f>
        <v>0.67942583732057404</v>
      </c>
      <c r="Z5" s="18">
        <f ca="1">$L$22*$N$22*2/($L$22+$N$22)</f>
        <v>0.75126903553299473</v>
      </c>
      <c r="AA5" s="18">
        <f ca="1">($B$22-$C$22-$E$22)/$B$22</f>
        <v>0.69819819819819817</v>
      </c>
      <c r="AB5" s="23">
        <f ca="1">($B$22-$D$22-$F$22)/$B$22</f>
        <v>0.77927927927927931</v>
      </c>
    </row>
    <row r="6" spans="1:28">
      <c r="A6" s="15" t="s">
        <v>302</v>
      </c>
      <c r="B6">
        <v>30</v>
      </c>
      <c r="C6">
        <f ca="1">Final_evaluation!$B$228</f>
        <v>5</v>
      </c>
      <c r="D6">
        <f ca="1">Final_evaluation!$C$228</f>
        <v>4</v>
      </c>
      <c r="E6">
        <f ca="1">Final_evaluation!$B$229</f>
        <v>5</v>
      </c>
      <c r="F6">
        <f ca="1">Final_evaluation!$C$229</f>
        <v>0</v>
      </c>
      <c r="G6">
        <f t="shared" ca="1" si="0"/>
        <v>0.16666666666666666</v>
      </c>
      <c r="H6">
        <f t="shared" ca="1" si="1"/>
        <v>0.13333333333333333</v>
      </c>
      <c r="I6">
        <f t="shared" ref="I6:I11" ca="1" si="2">E6/B6</f>
        <v>0.16666666666666666</v>
      </c>
      <c r="J6">
        <f t="shared" ref="J6:J11" ca="1" si="3">F6/B6</f>
        <v>0</v>
      </c>
      <c r="K6">
        <f ca="1">($B$6/2-$E$6)/(($B$6/2-$E$6)+$C$6)</f>
        <v>0.66666666666666663</v>
      </c>
      <c r="L6">
        <f ca="1">($B$6/2-$F$6)/(($B$6/2-$F$6)+$D$6)</f>
        <v>0.78947368421052633</v>
      </c>
      <c r="M6">
        <f ca="1">($B$6/2-$E$6)/($B$6/2)</f>
        <v>0.66666666666666663</v>
      </c>
      <c r="N6">
        <f ca="1">($B$6/2-$F$6)/($B$6/2)</f>
        <v>1</v>
      </c>
      <c r="O6">
        <f ca="1">$K$6*$M$6*2/($K$6+$M$6)</f>
        <v>0.66666666666666663</v>
      </c>
      <c r="P6">
        <f ca="1">$L$6*$N$6*2/($L$6+$N$6)</f>
        <v>0.88235294117647056</v>
      </c>
      <c r="Q6">
        <f ca="1">($B$6-$C$6-$E$6)/$B$6</f>
        <v>0.66666666666666663</v>
      </c>
      <c r="R6">
        <f ca="1">($B$6-$D$6-$F$6)/$B$6</f>
        <v>0.8666666666666667</v>
      </c>
      <c r="T6" t="s">
        <v>303</v>
      </c>
      <c r="U6" s="19">
        <f ca="1">($B$33/2-$E$33)/(($B$33/2-$E$33)+$C$33)</f>
        <v>0.79</v>
      </c>
      <c r="V6" s="18">
        <f ca="1">($B$33/2-$F$33)/(($B$33/2-$F$33)+$D$33)</f>
        <v>0.81481481481481477</v>
      </c>
      <c r="W6" s="18">
        <f ca="1">($B$33/2-$E$33)/($B$33/2)</f>
        <v>0.71171171171171166</v>
      </c>
      <c r="X6" s="18">
        <f ca="1">($B$33/2-$F$33)/($B$33/2)</f>
        <v>0.7927927927927928</v>
      </c>
      <c r="Y6" s="18">
        <f ca="1">$K$33*$M$33*2/($K$33+$M$33)</f>
        <v>0.74881516587677732</v>
      </c>
      <c r="Z6" s="18">
        <f ca="1">$L$33*$N$33*2/($L$33+$N$33)</f>
        <v>0.80365296803652964</v>
      </c>
      <c r="AA6" s="18">
        <f ca="1">($B$33-$C$33-$E$33)/$B$33</f>
        <v>0.76126126126126126</v>
      </c>
      <c r="AB6" s="23">
        <f ca="1">($B$33-$D$33-$F$33)/$B$33</f>
        <v>0.80630630630630629</v>
      </c>
    </row>
    <row r="7" spans="1:28">
      <c r="A7" s="15" t="s">
        <v>304</v>
      </c>
      <c r="B7">
        <v>30</v>
      </c>
      <c r="C7">
        <f ca="1">Final_evaluation!$B$230</f>
        <v>7</v>
      </c>
      <c r="D7">
        <f ca="1">Final_evaluation!$C$230</f>
        <v>3</v>
      </c>
      <c r="E7">
        <f ca="1">Final_evaluation!$B$231</f>
        <v>3</v>
      </c>
      <c r="F7">
        <f ca="1">Final_evaluation!$C$231</f>
        <v>1</v>
      </c>
      <c r="G7">
        <f t="shared" ca="1" si="0"/>
        <v>0.23333333333333334</v>
      </c>
      <c r="H7">
        <f t="shared" ca="1" si="1"/>
        <v>0.1</v>
      </c>
      <c r="I7">
        <f t="shared" ca="1" si="2"/>
        <v>0.1</v>
      </c>
      <c r="J7">
        <f t="shared" ca="1" si="3"/>
        <v>3.3333333333333333E-2</v>
      </c>
      <c r="K7">
        <f ca="1">($B$7/2-$E$7)/(($B$7/2-$E$7)+$C$7)</f>
        <v>0.63157894736842102</v>
      </c>
      <c r="L7">
        <f ca="1">($B$7/2-$F$7)/(($B$7/2-$F$7)+$D$7)</f>
        <v>0.82352941176470584</v>
      </c>
      <c r="M7">
        <f ca="1">($B$7/2-$E$7)/($B$7/2)</f>
        <v>0.8</v>
      </c>
      <c r="N7">
        <f ca="1">($B$7/2-$F$7)/($B$7/2)</f>
        <v>0.93333333333333335</v>
      </c>
      <c r="O7">
        <f ca="1">$K$7*$M$7*2/($K$7+$M$7)</f>
        <v>0.70588235294117652</v>
      </c>
      <c r="P7">
        <f ca="1">$L$7*$N$7*2/($L$7+$N$7)</f>
        <v>0.87499999999999989</v>
      </c>
      <c r="Q7">
        <f ca="1">($B$7-$C$7-$E$7)/$B$7</f>
        <v>0.66666666666666663</v>
      </c>
      <c r="R7">
        <f ca="1">($B$7-$D$7-$F$7)/$B$7</f>
        <v>0.8666666666666667</v>
      </c>
    </row>
    <row r="8" spans="1:28">
      <c r="A8" s="15" t="s">
        <v>305</v>
      </c>
      <c r="B8">
        <v>30</v>
      </c>
      <c r="C8">
        <f ca="1">Final_evaluation!$B$232</f>
        <v>7</v>
      </c>
      <c r="D8">
        <f ca="1">Final_evaluation!$C$232</f>
        <v>10</v>
      </c>
      <c r="E8">
        <f ca="1">Final_evaluation!$B$233</f>
        <v>2</v>
      </c>
      <c r="F8">
        <f ca="1">Final_evaluation!$C$233</f>
        <v>3</v>
      </c>
      <c r="G8">
        <f t="shared" ca="1" si="0"/>
        <v>0.23333333333333334</v>
      </c>
      <c r="H8">
        <f t="shared" ca="1" si="1"/>
        <v>0.33333333333333331</v>
      </c>
      <c r="I8">
        <f t="shared" ca="1" si="2"/>
        <v>6.6666666666666666E-2</v>
      </c>
      <c r="J8">
        <f t="shared" ca="1" si="3"/>
        <v>0.1</v>
      </c>
      <c r="K8">
        <f ca="1">($B$8/2-$E$8)/(($B$8/2-$E$8)+$C$8)</f>
        <v>0.65</v>
      </c>
      <c r="L8">
        <f ca="1">($B$8/2-$F$8)/(($B$8/2-$F$8)+$D$8)</f>
        <v>0.54545454545454541</v>
      </c>
      <c r="M8">
        <f ca="1">($B$8/2-$E$8)/($B$8/2)</f>
        <v>0.8666666666666667</v>
      </c>
      <c r="N8">
        <f ca="1">($B$8/2-$F$8)/($B$8/2)</f>
        <v>0.8</v>
      </c>
      <c r="O8">
        <f ca="1">$K$8*$M$8*2/($K$8+$M$8)</f>
        <v>0.74285714285714288</v>
      </c>
      <c r="P8">
        <f ca="1">$L$8*$N$8*2/($L$8+$N$8)</f>
        <v>0.64864864864864857</v>
      </c>
      <c r="Q8">
        <f ca="1">($B$8-$C$8-$E$8)/$B$8</f>
        <v>0.7</v>
      </c>
      <c r="R8">
        <f ca="1">($B$8-$D$8-$F$8)/$B$8</f>
        <v>0.56666666666666665</v>
      </c>
      <c r="T8" s="12" t="s">
        <v>306</v>
      </c>
      <c r="U8" s="13"/>
      <c r="V8" s="13" t="s">
        <v>307</v>
      </c>
      <c r="W8" s="13"/>
      <c r="X8" s="13" t="s">
        <v>308</v>
      </c>
      <c r="Y8" s="13"/>
      <c r="Z8" s="13" t="s">
        <v>309</v>
      </c>
      <c r="AA8" s="13"/>
      <c r="AB8" s="13" t="s">
        <v>310</v>
      </c>
    </row>
    <row r="9" spans="1:28">
      <c r="A9" s="15" t="s">
        <v>311</v>
      </c>
      <c r="B9">
        <v>32</v>
      </c>
      <c r="C9">
        <f ca="1">Final_evaluation!$B$234</f>
        <v>7</v>
      </c>
      <c r="D9">
        <f ca="1">Final_evaluation!$C$234</f>
        <v>6</v>
      </c>
      <c r="E9">
        <f ca="1">Final_evaluation!$B$235</f>
        <v>5</v>
      </c>
      <c r="F9">
        <f ca="1">Final_evaluation!$C$235</f>
        <v>5</v>
      </c>
      <c r="G9">
        <f t="shared" ca="1" si="0"/>
        <v>0.21875</v>
      </c>
      <c r="H9">
        <f t="shared" ca="1" si="1"/>
        <v>0.1875</v>
      </c>
      <c r="I9">
        <f t="shared" ca="1" si="2"/>
        <v>0.15625</v>
      </c>
      <c r="J9">
        <f t="shared" ca="1" si="3"/>
        <v>0.15625</v>
      </c>
      <c r="K9">
        <f ca="1">($B$9/2-$E$9)/(($B$9/2-$E$9)+$C$9)</f>
        <v>0.61111111111111116</v>
      </c>
      <c r="L9">
        <f ca="1">($B$9/2-$F$9)/(($B$9/2-$F$9)+$D$9)</f>
        <v>0.6470588235294118</v>
      </c>
      <c r="M9">
        <f ca="1">($B$9/2-$E$9)/($B$9/2)</f>
        <v>0.6875</v>
      </c>
      <c r="N9">
        <f ca="1">($B$9/2-$F$9)/($B$9/2)</f>
        <v>0.6875</v>
      </c>
      <c r="O9">
        <f ca="1">$K$9*$M$9*2/($K$9+$M$9)</f>
        <v>0.6470588235294118</v>
      </c>
      <c r="P9">
        <f ca="1">$L$9*$N$9*2/($L$9+$N$9)</f>
        <v>0.66666666666666674</v>
      </c>
      <c r="Q9">
        <f ca="1">($B$9-$C$9-$E$9)/$B$9</f>
        <v>0.625</v>
      </c>
      <c r="R9">
        <f ca="1">($B$9-$D$9-$F$9)/$B$9</f>
        <v>0.65625</v>
      </c>
      <c r="T9" s="1" t="s">
        <v>299</v>
      </c>
      <c r="V9" s="21">
        <f ca="1">V4-U4</f>
        <v>3.9784319440396398E-2</v>
      </c>
      <c r="W9" s="21"/>
      <c r="X9" s="21">
        <f ca="1">X4-W4</f>
        <v>8.108108108108103E-2</v>
      </c>
      <c r="Y9" s="21"/>
      <c r="Z9" s="21">
        <f ca="1">Z4-Y4</f>
        <v>5.6142301278488072E-2</v>
      </c>
      <c r="AA9" s="21"/>
      <c r="AB9" s="21">
        <f ca="1">AB4-AA4</f>
        <v>5.8558558558558627E-2</v>
      </c>
    </row>
    <row r="10" spans="1:28">
      <c r="A10" s="15" t="s">
        <v>312</v>
      </c>
      <c r="B10">
        <v>40</v>
      </c>
      <c r="C10">
        <f ca="1">Final_evaluation!$B$236</f>
        <v>6</v>
      </c>
      <c r="D10">
        <f ca="1">Final_evaluation!$C$236</f>
        <v>3</v>
      </c>
      <c r="E10">
        <f ca="1">Final_evaluation!$B$237</f>
        <v>0</v>
      </c>
      <c r="F10">
        <f ca="1">Final_evaluation!$C$237</f>
        <v>0</v>
      </c>
      <c r="G10">
        <f t="shared" ca="1" si="0"/>
        <v>0.15</v>
      </c>
      <c r="H10">
        <f t="shared" ca="1" si="1"/>
        <v>7.4999999999999997E-2</v>
      </c>
      <c r="I10">
        <f t="shared" ca="1" si="2"/>
        <v>0</v>
      </c>
      <c r="J10">
        <f t="shared" ca="1" si="3"/>
        <v>0</v>
      </c>
      <c r="K10">
        <f ca="1">($B$10/2-$E$10)/(($B$10/2-$E$10)+$C$10)</f>
        <v>0.76923076923076927</v>
      </c>
      <c r="L10">
        <f ca="1">($B$10/2-$F$10)/(($B$10/2-$F$10)+$D$10)</f>
        <v>0.86956521739130432</v>
      </c>
      <c r="M10">
        <f ca="1">($B$10/2-$E$10)/($B$10/2)</f>
        <v>1</v>
      </c>
      <c r="N10">
        <f ca="1">($B$10/2-$F$10)/($B$10/2)</f>
        <v>1</v>
      </c>
      <c r="O10">
        <f ca="1">$K$10*$M$10*2/($K$10+$M$10)</f>
        <v>0.86956521739130443</v>
      </c>
      <c r="P10">
        <f ca="1">$L$10*$N$10*2/($L$10+$N$10)</f>
        <v>0.93023255813953487</v>
      </c>
      <c r="Q10">
        <f ca="1">($B$10-$C$10-$E$10)/$B$10</f>
        <v>0.85</v>
      </c>
      <c r="R10">
        <f ca="1">($B$10-$D$10-$F$10)/$B$10</f>
        <v>0.92500000000000004</v>
      </c>
      <c r="T10" s="1" t="s">
        <v>301</v>
      </c>
      <c r="V10" s="21">
        <f ca="1">V5-U5</f>
        <v>0.13597532036070237</v>
      </c>
      <c r="W10" s="21"/>
      <c r="X10" s="21">
        <f t="shared" ref="X10:Z11" ca="1" si="4">X5-W5</f>
        <v>2.7027027027026973E-2</v>
      </c>
      <c r="Y10" s="21"/>
      <c r="Z10" s="21">
        <f t="shared" ca="1" si="4"/>
        <v>7.1843198212420689E-2</v>
      </c>
      <c r="AB10" s="21">
        <f t="shared" ref="AB10" ca="1" si="5">AB5-AA5</f>
        <v>8.1081081081081141E-2</v>
      </c>
    </row>
    <row r="11" spans="1:28">
      <c r="A11" s="15" t="s">
        <v>313</v>
      </c>
      <c r="B11">
        <f>SUM(B4:B10)</f>
        <v>222</v>
      </c>
      <c r="C11">
        <f ca="1">SUM(C4:C10)</f>
        <v>51</v>
      </c>
      <c r="D11">
        <f t="shared" ref="D11:F11" ca="1" si="6">SUM(D4:D10)</f>
        <v>47</v>
      </c>
      <c r="E11">
        <f t="shared" ca="1" si="6"/>
        <v>21</v>
      </c>
      <c r="F11">
        <f t="shared" ca="1" si="6"/>
        <v>12</v>
      </c>
      <c r="G11">
        <f t="shared" ca="1" si="0"/>
        <v>0.22972972972972974</v>
      </c>
      <c r="H11">
        <f t="shared" ca="1" si="1"/>
        <v>0.21171171171171171</v>
      </c>
      <c r="I11">
        <f t="shared" ca="1" si="2"/>
        <v>9.45945945945946E-2</v>
      </c>
      <c r="J11">
        <f t="shared" ca="1" si="3"/>
        <v>5.4054054054054057E-2</v>
      </c>
      <c r="K11">
        <f ca="1">($B$11/2-$E$11)/(($B$11/2-$E$11)+$C$11)</f>
        <v>0.63829787234042556</v>
      </c>
      <c r="L11">
        <f ca="1">($B$11/2-$F$11)/(($B$11/2-$F$11)+$D$11)</f>
        <v>0.67808219178082196</v>
      </c>
      <c r="M11">
        <f ca="1">($B$11/2-$E$11)/($B$11/2)</f>
        <v>0.81081081081081086</v>
      </c>
      <c r="N11">
        <f ca="1">($B$11/2-$F$11)/($B$11/2)</f>
        <v>0.89189189189189189</v>
      </c>
      <c r="O11">
        <f ca="1">$K$11*$M$11*2/($K$11+$M$11)</f>
        <v>0.7142857142857143</v>
      </c>
      <c r="P11">
        <f ca="1">$L$11*$N$11*2/($L$11+$N$11)</f>
        <v>0.77042801556420237</v>
      </c>
      <c r="Q11">
        <f ca="1">($B$11-$C$11-$E$11)/$B$11</f>
        <v>0.67567567567567566</v>
      </c>
      <c r="R11">
        <f ca="1">($B$11-$D$11-$F$11)/$B$11</f>
        <v>0.73423423423423428</v>
      </c>
      <c r="T11" s="1" t="s">
        <v>303</v>
      </c>
      <c r="V11" s="21">
        <f ca="1">V6-U6</f>
        <v>2.4814814814814734E-2</v>
      </c>
      <c r="W11" s="21"/>
      <c r="X11" s="21">
        <f t="shared" ca="1" si="4"/>
        <v>8.1081081081081141E-2</v>
      </c>
      <c r="Y11" s="21"/>
      <c r="Z11" s="21">
        <f t="shared" ca="1" si="4"/>
        <v>5.4837802159752314E-2</v>
      </c>
      <c r="AB11" s="21">
        <f t="shared" ref="AB11" ca="1" si="7">AB6-AA6</f>
        <v>4.5045045045045029E-2</v>
      </c>
    </row>
    <row r="13" spans="1:28">
      <c r="T13" s="33" t="s">
        <v>278</v>
      </c>
      <c r="U13" s="35" t="s">
        <v>314</v>
      </c>
      <c r="V13" s="36"/>
      <c r="W13" s="36"/>
      <c r="X13" s="36"/>
      <c r="Y13" s="36"/>
      <c r="Z13" s="36"/>
      <c r="AA13" s="36"/>
      <c r="AB13" s="37"/>
    </row>
    <row r="14" spans="1:28">
      <c r="A14" s="12" t="s">
        <v>315</v>
      </c>
      <c r="B14" s="13" t="s">
        <v>281</v>
      </c>
      <c r="C14" s="13" t="s">
        <v>282</v>
      </c>
      <c r="D14" s="13" t="s">
        <v>283</v>
      </c>
      <c r="E14" s="13" t="s">
        <v>284</v>
      </c>
      <c r="F14" s="13" t="s">
        <v>285</v>
      </c>
      <c r="G14" s="13" t="s">
        <v>286</v>
      </c>
      <c r="H14" s="14" t="s">
        <v>287</v>
      </c>
      <c r="I14" s="13" t="s">
        <v>288</v>
      </c>
      <c r="J14" s="13" t="s">
        <v>289</v>
      </c>
      <c r="K14" s="13" t="s">
        <v>290</v>
      </c>
      <c r="L14" s="13" t="s">
        <v>291</v>
      </c>
      <c r="M14" s="13" t="s">
        <v>292</v>
      </c>
      <c r="N14" s="13" t="s">
        <v>293</v>
      </c>
      <c r="O14" s="13" t="s">
        <v>294</v>
      </c>
      <c r="P14" s="13" t="s">
        <v>295</v>
      </c>
      <c r="Q14" s="13" t="s">
        <v>296</v>
      </c>
      <c r="R14" s="14" t="s">
        <v>297</v>
      </c>
      <c r="T14" s="38"/>
      <c r="U14" s="16" t="s">
        <v>295</v>
      </c>
      <c r="V14" s="13" t="s">
        <v>316</v>
      </c>
      <c r="W14" s="13" t="s">
        <v>317</v>
      </c>
      <c r="X14" s="13" t="s">
        <v>318</v>
      </c>
      <c r="Y14" s="14" t="s">
        <v>297</v>
      </c>
      <c r="Z14" s="14" t="s">
        <v>319</v>
      </c>
      <c r="AA14" s="14" t="s">
        <v>320</v>
      </c>
      <c r="AB14" s="17" t="s">
        <v>321</v>
      </c>
    </row>
    <row r="15" spans="1:28">
      <c r="A15" s="15" t="s">
        <v>298</v>
      </c>
      <c r="B15">
        <v>30</v>
      </c>
      <c r="C15">
        <f ca="1">Final_evaluation!$H$224</f>
        <v>5</v>
      </c>
      <c r="D15">
        <f ca="1">Final_evaluation!$I$224</f>
        <v>0</v>
      </c>
      <c r="E15">
        <f ca="1">Final_evaluation!$H$225</f>
        <v>3</v>
      </c>
      <c r="F15">
        <f ca="1">Final_evaluation!$I$225</f>
        <v>2</v>
      </c>
      <c r="G15">
        <f ca="1">C15/B15</f>
        <v>0.16666666666666666</v>
      </c>
      <c r="H15">
        <f ca="1">D15/B15</f>
        <v>0</v>
      </c>
      <c r="I15">
        <f ca="1">E15/B15</f>
        <v>0.1</v>
      </c>
      <c r="J15">
        <f ca="1">F15/B15</f>
        <v>6.6666666666666666E-2</v>
      </c>
      <c r="K15">
        <f ca="1">($B$15/2-$E$15)/(($B$15/2-$E$15)+$C$15)</f>
        <v>0.70588235294117652</v>
      </c>
      <c r="L15">
        <f ca="1">($B$15/2-$F$15)/(($B$15/2-$F$15)+$D$15)</f>
        <v>1</v>
      </c>
      <c r="M15">
        <f ca="1">($B$15/2-$E$15)/($B$15/2)</f>
        <v>0.8</v>
      </c>
      <c r="N15">
        <f ca="1">($B$15/2-$F$15)/($B$15/2)</f>
        <v>0.8666666666666667</v>
      </c>
      <c r="O15">
        <f ca="1">$K$15*$M$15*2/($K$15+$M$15)</f>
        <v>0.75000000000000011</v>
      </c>
      <c r="P15">
        <f ca="1">$L$15*$N$15*2/($L$15+$N$15)</f>
        <v>0.9285714285714286</v>
      </c>
      <c r="Q15">
        <f ca="1">($B$15-$C$15-$E$15)/$B$15</f>
        <v>0.73333333333333328</v>
      </c>
      <c r="R15">
        <f ca="1">($B$15-$D$15-$F$15)/$B$15</f>
        <v>0.93333333333333335</v>
      </c>
      <c r="T15" s="1" t="s">
        <v>299</v>
      </c>
      <c r="U15" s="21">
        <f ca="1">S45</f>
        <v>0.77042801556420237</v>
      </c>
      <c r="V15" s="24">
        <f t="shared" ref="V15:AB15" ca="1" si="8">T45</f>
        <v>0.77290836653386452</v>
      </c>
      <c r="W15" s="22">
        <f t="shared" ca="1" si="8"/>
        <v>0.76734693877551019</v>
      </c>
      <c r="X15" s="26">
        <f t="shared" ca="1" si="8"/>
        <v>0.7578125</v>
      </c>
      <c r="Y15" s="21">
        <f t="shared" ca="1" si="8"/>
        <v>0.73423423423423428</v>
      </c>
      <c r="Z15" s="24">
        <f t="shared" ca="1" si="8"/>
        <v>0.7432432432432432</v>
      </c>
      <c r="AA15" s="24">
        <f t="shared" ca="1" si="8"/>
        <v>0.7432432432432432</v>
      </c>
      <c r="AB15" s="27">
        <f t="shared" ca="1" si="8"/>
        <v>0.72072072072072069</v>
      </c>
    </row>
    <row r="16" spans="1:28">
      <c r="A16" s="15" t="s">
        <v>300</v>
      </c>
      <c r="B16">
        <v>30</v>
      </c>
      <c r="C16">
        <f ca="1">Final_evaluation!$H$226</f>
        <v>5</v>
      </c>
      <c r="D16">
        <f ca="1">Final_evaluation!$I$226</f>
        <v>5</v>
      </c>
      <c r="E16">
        <f ca="1">Final_evaluation!$H$227</f>
        <v>9</v>
      </c>
      <c r="F16">
        <f ca="1">Final_evaluation!$I$227</f>
        <v>7</v>
      </c>
      <c r="G16">
        <f t="shared" ref="G16:G22" ca="1" si="9">C16/B16</f>
        <v>0.16666666666666666</v>
      </c>
      <c r="H16">
        <f t="shared" ref="H16:H22" ca="1" si="10">D16/B16</f>
        <v>0.16666666666666666</v>
      </c>
      <c r="I16">
        <f ca="1">E16/B16</f>
        <v>0.3</v>
      </c>
      <c r="J16">
        <f ca="1">F16/B16</f>
        <v>0.23333333333333334</v>
      </c>
      <c r="K16">
        <f ca="1">($B$16/2-$E$16)/(($B$16/2-$E$16)+$C$16)</f>
        <v>0.54545454545454541</v>
      </c>
      <c r="L16">
        <f ca="1">($B$16/2-$F$16)/(($B$16/2-$F$16)+$D$16)</f>
        <v>0.61538461538461542</v>
      </c>
      <c r="M16">
        <f ca="1">($B$16/2-$E$16)/($B$16/2)</f>
        <v>0.4</v>
      </c>
      <c r="N16">
        <f ca="1">($B$16/2-$F$16)/($B$16/2)</f>
        <v>0.53333333333333333</v>
      </c>
      <c r="O16">
        <f ca="1">$K$16*$M$16*2/($K$16+$M$16)</f>
        <v>0.46153846153846151</v>
      </c>
      <c r="P16">
        <f ca="1">$L$16*$N$16*2/($L$16+$N$16)</f>
        <v>0.57142857142857151</v>
      </c>
      <c r="Q16">
        <f ca="1">($B$16-$C$16-$E$16)/$B$16</f>
        <v>0.53333333333333333</v>
      </c>
      <c r="R16">
        <f ca="1">($B$16-$D$16-$F$16)/$B$16</f>
        <v>0.6</v>
      </c>
      <c r="T16" t="s">
        <v>301</v>
      </c>
      <c r="U16" s="28">
        <f ca="1">S56</f>
        <v>0.75126903553299473</v>
      </c>
      <c r="V16" s="26">
        <f t="shared" ref="V16:AB16" ca="1" si="11">T56</f>
        <v>0.66326530612244905</v>
      </c>
      <c r="W16" s="22">
        <f t="shared" ca="1" si="11"/>
        <v>0.6974358974358974</v>
      </c>
      <c r="X16" s="22">
        <f t="shared" ca="1" si="11"/>
        <v>0.68246445497630337</v>
      </c>
      <c r="Y16" s="21">
        <f t="shared" ca="1" si="11"/>
        <v>0.77927927927927931</v>
      </c>
      <c r="Z16" s="22">
        <f t="shared" ca="1" si="11"/>
        <v>0.70270270270270274</v>
      </c>
      <c r="AA16" s="22">
        <f t="shared" ca="1" si="11"/>
        <v>0.73423423423423428</v>
      </c>
      <c r="AB16" s="27">
        <f t="shared" ca="1" si="11"/>
        <v>0.69819819819819817</v>
      </c>
    </row>
    <row r="17" spans="1:30">
      <c r="A17" s="15" t="s">
        <v>302</v>
      </c>
      <c r="B17">
        <v>30</v>
      </c>
      <c r="C17">
        <f ca="1">Final_evaluation!$H$228</f>
        <v>2</v>
      </c>
      <c r="D17">
        <f ca="1">Final_evaluation!$I$228</f>
        <v>1</v>
      </c>
      <c r="E17">
        <f ca="1">Final_evaluation!$H$229</f>
        <v>6</v>
      </c>
      <c r="F17">
        <f ca="1">Final_evaluation!$I$229</f>
        <v>4</v>
      </c>
      <c r="G17">
        <f t="shared" ca="1" si="9"/>
        <v>6.6666666666666666E-2</v>
      </c>
      <c r="H17">
        <f t="shared" ca="1" si="10"/>
        <v>3.3333333333333333E-2</v>
      </c>
      <c r="I17">
        <f t="shared" ref="I17:I22" ca="1" si="12">E17/B17</f>
        <v>0.2</v>
      </c>
      <c r="J17">
        <f t="shared" ref="J17:J22" ca="1" si="13">F17/B17</f>
        <v>0.13333333333333333</v>
      </c>
      <c r="K17">
        <f ca="1">($B$17/2-$E$17)/(($B$17/2-$E$17)+$C$17)</f>
        <v>0.81818181818181823</v>
      </c>
      <c r="L17">
        <f ca="1">($B$17/2-$F$17)/(($B$17/2-$F$17)+$D$17)</f>
        <v>0.91666666666666663</v>
      </c>
      <c r="M17">
        <f ca="1">($B$17/2-$E$17)/($B$17/2)</f>
        <v>0.6</v>
      </c>
      <c r="N17">
        <f ca="1">($B$17/2-$F$17)/($B$17/2)</f>
        <v>0.73333333333333328</v>
      </c>
      <c r="O17">
        <f ca="1">$K$17*$M$17*2/($K$17+$M$17)</f>
        <v>0.69230769230769229</v>
      </c>
      <c r="P17">
        <f ca="1">$L$17*$N$17*2/($L$17+$N$17)</f>
        <v>0.81481481481481477</v>
      </c>
      <c r="Q17">
        <f ca="1">($B$17-$C$17-$E$17)/$B$17</f>
        <v>0.73333333333333328</v>
      </c>
      <c r="R17">
        <f ca="1">($B$17-$D$17-$F$17)/$B$17</f>
        <v>0.83333333333333337</v>
      </c>
      <c r="T17" t="s">
        <v>303</v>
      </c>
      <c r="U17" s="28">
        <f ca="1">S67</f>
        <v>0.80365296803652964</v>
      </c>
      <c r="V17" s="24">
        <f t="shared" ref="V17:AB17" ca="1" si="14">T67</f>
        <v>0.80930232558139525</v>
      </c>
      <c r="W17" s="26">
        <f t="shared" ca="1" si="14"/>
        <v>0.75829383886255919</v>
      </c>
      <c r="X17" s="24">
        <f t="shared" ca="1" si="14"/>
        <v>0.81981981981981977</v>
      </c>
      <c r="Y17" s="21">
        <f t="shared" ca="1" si="14"/>
        <v>0.80630630630630629</v>
      </c>
      <c r="Z17" s="24">
        <f t="shared" ca="1" si="14"/>
        <v>0.81531531531531531</v>
      </c>
      <c r="AA17" s="26">
        <f t="shared" ca="1" si="14"/>
        <v>0.77027027027027029</v>
      </c>
      <c r="AB17" s="25">
        <f t="shared" ca="1" si="14"/>
        <v>0.81981981981981977</v>
      </c>
    </row>
    <row r="18" spans="1:30">
      <c r="A18" s="15" t="s">
        <v>304</v>
      </c>
      <c r="B18">
        <v>30</v>
      </c>
      <c r="C18">
        <f ca="1">Final_evaluation!$H$230</f>
        <v>5</v>
      </c>
      <c r="D18">
        <f ca="1">Final_evaluation!$I$230</f>
        <v>2</v>
      </c>
      <c r="E18">
        <f ca="1">Final_evaluation!$H$231</f>
        <v>5</v>
      </c>
      <c r="F18">
        <f ca="1">Final_evaluation!$I$231</f>
        <v>5</v>
      </c>
      <c r="G18">
        <f t="shared" ca="1" si="9"/>
        <v>0.16666666666666666</v>
      </c>
      <c r="H18">
        <f t="shared" ca="1" si="10"/>
        <v>6.6666666666666666E-2</v>
      </c>
      <c r="I18">
        <f t="shared" ca="1" si="12"/>
        <v>0.16666666666666666</v>
      </c>
      <c r="J18">
        <f t="shared" ca="1" si="13"/>
        <v>0.16666666666666666</v>
      </c>
      <c r="K18">
        <f ca="1">($B$18/2-$E$18)/(($B$18/2-$E$18)+$C$18)</f>
        <v>0.66666666666666663</v>
      </c>
      <c r="L18">
        <f ca="1">($B$18/2-$F$18)/(($B$18/2-$F$18)+$D$18)</f>
        <v>0.83333333333333337</v>
      </c>
      <c r="M18">
        <f ca="1">($B$18/2-$E$18)/($B$18/2)</f>
        <v>0.66666666666666663</v>
      </c>
      <c r="N18">
        <f ca="1">($B$18/2-$F$18)/($B$18/2)</f>
        <v>0.66666666666666663</v>
      </c>
      <c r="O18">
        <f ca="1">$K$18*$M$18*2/($K$18+$M$18)</f>
        <v>0.66666666666666663</v>
      </c>
      <c r="P18">
        <f ca="1">$L$18*$N$18*2/($L$18+$N$18)</f>
        <v>0.74074074074074081</v>
      </c>
      <c r="Q18">
        <f ca="1">($B$18-$C$18-$E$18)/$B$18</f>
        <v>0.66666666666666663</v>
      </c>
      <c r="R18">
        <f ca="1">($B$18-$D$18-$F$18)/$B$18</f>
        <v>0.76666666666666672</v>
      </c>
    </row>
    <row r="19" spans="1:30">
      <c r="A19" s="15" t="s">
        <v>305</v>
      </c>
      <c r="B19">
        <v>30</v>
      </c>
      <c r="C19">
        <f ca="1">Final_evaluation!$H$232</f>
        <v>5</v>
      </c>
      <c r="D19">
        <f ca="1">Final_evaluation!$I$232</f>
        <v>2</v>
      </c>
      <c r="E19">
        <f ca="1">Final_evaluation!$H$233</f>
        <v>8</v>
      </c>
      <c r="F19">
        <f ca="1">Final_evaluation!$I$233</f>
        <v>8</v>
      </c>
      <c r="G19">
        <f t="shared" ca="1" si="9"/>
        <v>0.16666666666666666</v>
      </c>
      <c r="H19">
        <f t="shared" ca="1" si="10"/>
        <v>6.6666666666666666E-2</v>
      </c>
      <c r="I19">
        <f t="shared" ca="1" si="12"/>
        <v>0.26666666666666666</v>
      </c>
      <c r="J19">
        <f t="shared" ca="1" si="13"/>
        <v>0.26666666666666666</v>
      </c>
      <c r="K19">
        <f ca="1">($B$19/2-$E$19)/(($B$19/2-$E$19)+$C$19)</f>
        <v>0.58333333333333337</v>
      </c>
      <c r="L19">
        <f ca="1">($B$19/2-$F$19)/(($B$19/2-$F$19)+$D$19)</f>
        <v>0.77777777777777779</v>
      </c>
      <c r="M19">
        <f ca="1">($B$19/2-$E$19)/($B$19/2)</f>
        <v>0.46666666666666667</v>
      </c>
      <c r="N19">
        <f ca="1">($B$19/2-$F$19)/($B$19/2)</f>
        <v>0.46666666666666667</v>
      </c>
      <c r="O19">
        <f ca="1">$K$19*$M$19*2/($K$19+$M$19)</f>
        <v>0.5185185185185186</v>
      </c>
      <c r="P19">
        <f ca="1">$L$19*$N$19*2/($L$19+$N$19)</f>
        <v>0.58333333333333337</v>
      </c>
      <c r="Q19">
        <f ca="1">($B$19-$C$19-$E$19)/$B$19</f>
        <v>0.56666666666666665</v>
      </c>
      <c r="R19">
        <f ca="1">($B$19-$D$19-$F$19)/$B$19</f>
        <v>0.66666666666666663</v>
      </c>
      <c r="T19" s="29" t="s">
        <v>306</v>
      </c>
      <c r="U19" s="16"/>
      <c r="V19" s="13" t="s">
        <v>316</v>
      </c>
      <c r="W19" s="13" t="s">
        <v>317</v>
      </c>
      <c r="X19" s="13" t="s">
        <v>318</v>
      </c>
      <c r="Y19" s="14" t="s">
        <v>297</v>
      </c>
      <c r="Z19" s="14" t="s">
        <v>319</v>
      </c>
      <c r="AA19" s="14" t="s">
        <v>320</v>
      </c>
      <c r="AB19" s="17" t="s">
        <v>321</v>
      </c>
    </row>
    <row r="20" spans="1:30">
      <c r="A20" s="15" t="s">
        <v>311</v>
      </c>
      <c r="B20">
        <v>32</v>
      </c>
      <c r="C20">
        <f ca="1">Final_evaluation!$H$234</f>
        <v>4</v>
      </c>
      <c r="D20">
        <f ca="1">Final_evaluation!$I$234</f>
        <v>2</v>
      </c>
      <c r="E20">
        <f ca="1">Final_evaluation!$H$235</f>
        <v>9</v>
      </c>
      <c r="F20">
        <f ca="1">Final_evaluation!$I$235</f>
        <v>9</v>
      </c>
      <c r="G20">
        <f t="shared" ca="1" si="9"/>
        <v>0.125</v>
      </c>
      <c r="H20">
        <f t="shared" ca="1" si="10"/>
        <v>6.25E-2</v>
      </c>
      <c r="I20">
        <f t="shared" ca="1" si="12"/>
        <v>0.28125</v>
      </c>
      <c r="J20">
        <f t="shared" ca="1" si="13"/>
        <v>0.28125</v>
      </c>
      <c r="K20">
        <f ca="1">($B$20/2-$E$20)/(($B$20/2-$E$20)+$C$20)</f>
        <v>0.63636363636363635</v>
      </c>
      <c r="L20">
        <f ca="1">($B$20/2-$F$20)/(($B$20/2-$F$20)+$D$20)</f>
        <v>0.77777777777777779</v>
      </c>
      <c r="M20">
        <f ca="1">($B$20/2-$E$20)/($B$20/2)</f>
        <v>0.4375</v>
      </c>
      <c r="N20">
        <f ca="1">($B$20/2-$F$20)/($B$20/2)</f>
        <v>0.4375</v>
      </c>
      <c r="O20">
        <f ca="1">$K$20*$M$20*2/($K$20+$M$20)</f>
        <v>0.51851851851851849</v>
      </c>
      <c r="P20">
        <f ca="1">$L$20*$N$20*2/($L$20+$N$20)</f>
        <v>0.56000000000000005</v>
      </c>
      <c r="Q20">
        <f ca="1">($B$20-$C$20-$E$20)/$B$20</f>
        <v>0.59375</v>
      </c>
      <c r="R20">
        <f ca="1">($B$20-$D$20-$F$20)/$B$20</f>
        <v>0.65625</v>
      </c>
      <c r="T20" s="1" t="s">
        <v>299</v>
      </c>
      <c r="U20" s="21"/>
      <c r="V20" s="21">
        <f ca="1">V15-U15</f>
        <v>2.4803509696621484E-3</v>
      </c>
      <c r="W20" s="21">
        <f ca="1">W15-U15</f>
        <v>-3.081076788692183E-3</v>
      </c>
      <c r="X20" s="21">
        <f ca="1">X15-U15</f>
        <v>-1.2615515564202373E-2</v>
      </c>
      <c r="Y20" s="21"/>
      <c r="Z20" s="21">
        <f ca="1">Z15-Y15</f>
        <v>9.009009009008917E-3</v>
      </c>
      <c r="AA20" s="21">
        <f ca="1">AA15-Y15</f>
        <v>9.009009009008917E-3</v>
      </c>
      <c r="AB20" s="21">
        <f ca="1">AB15-Y15</f>
        <v>-1.3513513513513598E-2</v>
      </c>
    </row>
    <row r="21" spans="1:30">
      <c r="A21" s="15" t="s">
        <v>312</v>
      </c>
      <c r="B21">
        <v>40</v>
      </c>
      <c r="C21">
        <f ca="1">Final_evaluation!$H$236</f>
        <v>1</v>
      </c>
      <c r="D21">
        <f ca="1">Final_evaluation!$I$236</f>
        <v>0</v>
      </c>
      <c r="E21">
        <f ca="1">Final_evaluation!$H$237</f>
        <v>0</v>
      </c>
      <c r="F21">
        <f ca="1">Final_evaluation!$I$237</f>
        <v>2</v>
      </c>
      <c r="G21">
        <f t="shared" ca="1" si="9"/>
        <v>2.5000000000000001E-2</v>
      </c>
      <c r="H21">
        <f t="shared" ca="1" si="10"/>
        <v>0</v>
      </c>
      <c r="I21">
        <f t="shared" ca="1" si="12"/>
        <v>0</v>
      </c>
      <c r="J21">
        <f t="shared" ca="1" si="13"/>
        <v>0.05</v>
      </c>
      <c r="K21">
        <f ca="1">($B$21/2-$E$21)/(($B$21/2-$E$21)+$C$21)</f>
        <v>0.95238095238095233</v>
      </c>
      <c r="L21">
        <f ca="1">($B$21/2-$F$21)/(($B$21/2-$F$21)+$D$21)</f>
        <v>1</v>
      </c>
      <c r="M21">
        <f ca="1">($B$21/2-$E$21)/($B$21/2)</f>
        <v>1</v>
      </c>
      <c r="N21">
        <f ca="1">($B$21/2-$F$21)/($B$21/2)</f>
        <v>0.9</v>
      </c>
      <c r="O21">
        <f ca="1">$K$21*$M$21*2/($K$21+$M$21)</f>
        <v>0.97560975609756095</v>
      </c>
      <c r="P21">
        <f ca="1">$L$21*$N$21*2/($L$21+$N$21)</f>
        <v>0.94736842105263164</v>
      </c>
      <c r="Q21">
        <f ca="1">($B$21-$C$21-$E$21)/$B$21</f>
        <v>0.97499999999999998</v>
      </c>
      <c r="R21">
        <f ca="1">($B$21-$D$21-$F$21)/$B$21</f>
        <v>0.95</v>
      </c>
      <c r="T21" t="s">
        <v>301</v>
      </c>
      <c r="U21" s="28"/>
      <c r="V21" s="21">
        <f t="shared" ref="V21:X22" ca="1" si="15">V16-U16</f>
        <v>-8.8003729410545684E-2</v>
      </c>
      <c r="W21" s="21">
        <f ca="1">W16-U16</f>
        <v>-5.3833138097097333E-2</v>
      </c>
      <c r="X21" s="21">
        <f ca="1">X16-U16</f>
        <v>-6.8804580556691364E-2</v>
      </c>
      <c r="Y21" s="21"/>
      <c r="Z21" s="21">
        <f t="shared" ref="Z21:AB21" ca="1" si="16">Z16-Y16</f>
        <v>-7.6576576576576572E-2</v>
      </c>
      <c r="AA21" s="21">
        <f ca="1">AA16-Y16</f>
        <v>-4.5045045045045029E-2</v>
      </c>
      <c r="AB21" s="21">
        <f ca="1">AB16-Y16</f>
        <v>-8.1081081081081141E-2</v>
      </c>
    </row>
    <row r="22" spans="1:30">
      <c r="A22" s="15" t="s">
        <v>313</v>
      </c>
      <c r="B22">
        <f>SUM(B15:B21)</f>
        <v>222</v>
      </c>
      <c r="C22">
        <f ca="1">SUM(C15:C21)</f>
        <v>27</v>
      </c>
      <c r="D22">
        <f t="shared" ref="D22:F22" ca="1" si="17">SUM(D15:D21)</f>
        <v>12</v>
      </c>
      <c r="E22">
        <f t="shared" ref="E22" ca="1" si="18">SUM(E15:E21)</f>
        <v>40</v>
      </c>
      <c r="F22">
        <f t="shared" ca="1" si="17"/>
        <v>37</v>
      </c>
      <c r="G22">
        <f t="shared" ca="1" si="9"/>
        <v>0.12162162162162163</v>
      </c>
      <c r="H22">
        <f t="shared" ca="1" si="10"/>
        <v>5.4054054054054057E-2</v>
      </c>
      <c r="I22">
        <f t="shared" ca="1" si="12"/>
        <v>0.18018018018018017</v>
      </c>
      <c r="J22">
        <f t="shared" ca="1" si="13"/>
        <v>0.16666666666666666</v>
      </c>
      <c r="K22">
        <f ca="1">($B$22/2-$E$22)/(($B$22/2-$E$22)+$C$22)</f>
        <v>0.72448979591836737</v>
      </c>
      <c r="L22">
        <f ca="1">($B$22/2-$F$22)/(($B$22/2-$F$22)+$D$22)</f>
        <v>0.86046511627906974</v>
      </c>
      <c r="M22">
        <f ca="1">($B$22/2-$E$22)/($B$22/2)</f>
        <v>0.63963963963963966</v>
      </c>
      <c r="N22">
        <f ca="1">($B$22/2-$F$22)/($B$22/2)</f>
        <v>0.66666666666666663</v>
      </c>
      <c r="O22">
        <f ca="1">$K$22*$M$22*2/($K$22+$M$22)</f>
        <v>0.67942583732057404</v>
      </c>
      <c r="P22">
        <f ca="1">$L$22*$N$22*2/($L$22+$N$22)</f>
        <v>0.75126903553299473</v>
      </c>
      <c r="Q22">
        <f ca="1">($B$22-$C$22-$E$22)/$B$22</f>
        <v>0.69819819819819817</v>
      </c>
      <c r="R22">
        <f ca="1">($B$22-$D$22-$F$22)/$B$22</f>
        <v>0.77927927927927931</v>
      </c>
      <c r="T22" t="s">
        <v>303</v>
      </c>
      <c r="U22" s="28"/>
      <c r="V22" s="21">
        <f t="shared" ca="1" si="15"/>
        <v>5.6493575448656186E-3</v>
      </c>
      <c r="W22" s="21">
        <f t="shared" ref="W21:W22" ca="1" si="19">W17-U17</f>
        <v>-4.5359129173970447E-2</v>
      </c>
      <c r="X22" s="21">
        <f ca="1">X17-U17</f>
        <v>1.6166851783290137E-2</v>
      </c>
      <c r="Y22" s="21"/>
      <c r="Z22" s="21">
        <f ca="1">Z17-Y17</f>
        <v>9.009009009009028E-3</v>
      </c>
      <c r="AA22" s="21">
        <f ca="1">AA17-Y17</f>
        <v>-3.6036036036036001E-2</v>
      </c>
      <c r="AB22" s="21">
        <f ca="1">AB17-Y17</f>
        <v>1.3513513513513487E-2</v>
      </c>
    </row>
    <row r="24" spans="1:30">
      <c r="T24" s="33" t="s">
        <v>278</v>
      </c>
      <c r="U24" s="35" t="s">
        <v>322</v>
      </c>
      <c r="V24" s="36"/>
      <c r="W24" s="36"/>
      <c r="X24" s="36"/>
      <c r="Z24" s="39" t="s">
        <v>323</v>
      </c>
      <c r="AA24" s="39"/>
      <c r="AB24" s="39"/>
      <c r="AC24" s="39"/>
      <c r="AD24" s="39"/>
    </row>
    <row r="25" spans="1:30">
      <c r="A25" s="12" t="s">
        <v>324</v>
      </c>
      <c r="B25" s="13" t="s">
        <v>281</v>
      </c>
      <c r="C25" s="13" t="s">
        <v>282</v>
      </c>
      <c r="D25" s="13" t="s">
        <v>283</v>
      </c>
      <c r="E25" s="13" t="s">
        <v>284</v>
      </c>
      <c r="F25" s="13" t="s">
        <v>285</v>
      </c>
      <c r="G25" s="13" t="s">
        <v>286</v>
      </c>
      <c r="H25" s="14" t="s">
        <v>287</v>
      </c>
      <c r="I25" s="13" t="s">
        <v>288</v>
      </c>
      <c r="J25" s="13" t="s">
        <v>289</v>
      </c>
      <c r="K25" s="13" t="s">
        <v>290</v>
      </c>
      <c r="L25" s="13" t="s">
        <v>291</v>
      </c>
      <c r="M25" s="13" t="s">
        <v>292</v>
      </c>
      <c r="N25" s="13" t="s">
        <v>293</v>
      </c>
      <c r="O25" s="13" t="s">
        <v>294</v>
      </c>
      <c r="P25" s="13" t="s">
        <v>295</v>
      </c>
      <c r="Q25" s="13" t="s">
        <v>296</v>
      </c>
      <c r="R25" s="14" t="s">
        <v>297</v>
      </c>
      <c r="T25" s="38"/>
      <c r="U25" s="16" t="s">
        <v>295</v>
      </c>
      <c r="V25" s="13" t="s">
        <v>325</v>
      </c>
      <c r="W25" s="14" t="s">
        <v>297</v>
      </c>
      <c r="X25" s="17" t="s">
        <v>326</v>
      </c>
      <c r="Z25" s="30" t="s">
        <v>327</v>
      </c>
      <c r="AA25" s="31" t="s">
        <v>328</v>
      </c>
      <c r="AB25" s="31" t="s">
        <v>329</v>
      </c>
      <c r="AC25" s="31" t="s">
        <v>330</v>
      </c>
      <c r="AD25" s="12" t="s">
        <v>331</v>
      </c>
    </row>
    <row r="26" spans="1:30">
      <c r="A26" s="15" t="s">
        <v>298</v>
      </c>
      <c r="B26">
        <v>30</v>
      </c>
      <c r="C26">
        <f ca="1">Final_evaluation!$N$224</f>
        <v>3</v>
      </c>
      <c r="D26">
        <f ca="1">Final_evaluation!$O$224</f>
        <v>2</v>
      </c>
      <c r="E26">
        <f ca="1">Final_evaluation!$N$225</f>
        <v>2</v>
      </c>
      <c r="F26">
        <f ca="1">Final_evaluation!$O$225</f>
        <v>3</v>
      </c>
      <c r="G26">
        <f ca="1">C26/B26</f>
        <v>0.1</v>
      </c>
      <c r="H26">
        <f ca="1">D26/B26</f>
        <v>6.6666666666666666E-2</v>
      </c>
      <c r="I26">
        <f ca="1">E26/B26</f>
        <v>6.6666666666666666E-2</v>
      </c>
      <c r="J26">
        <f ca="1">F26/B26</f>
        <v>0.1</v>
      </c>
      <c r="K26">
        <f ca="1">($B$26/2-$E$26)/(($B$26/2-$E$26)+$C$26)</f>
        <v>0.8125</v>
      </c>
      <c r="L26">
        <f ca="1">($B$26/2-$F$26)/(($B$26/2-$F$26)+$D$26)</f>
        <v>0.8571428571428571</v>
      </c>
      <c r="M26">
        <f ca="1">($B$26/2-$E$26)/($B$26/2)</f>
        <v>0.8666666666666667</v>
      </c>
      <c r="N26">
        <f ca="1">($B$26/2-$F$26)/($B$26/2)</f>
        <v>0.8</v>
      </c>
      <c r="O26">
        <f ca="1">$K$26*$M$26*2/($K$26+$M$26)</f>
        <v>0.83870967741935487</v>
      </c>
      <c r="P26">
        <f ca="1">$L$26*$N$26*2/($L$26+$N$26)</f>
        <v>0.82758620689655182</v>
      </c>
      <c r="Q26">
        <f ca="1">($B$26-$C$26-$E$26)/$B$26</f>
        <v>0.83333333333333337</v>
      </c>
      <c r="R26">
        <f ca="1">($B$26-$D$26-$F$26)/$B$26</f>
        <v>0.83333333333333337</v>
      </c>
      <c r="T26" s="1" t="s">
        <v>299</v>
      </c>
      <c r="U26" s="21">
        <f ca="1">K79</f>
        <v>0.77042801556420237</v>
      </c>
      <c r="V26" s="22">
        <f ca="1">L79</f>
        <v>0.75697211155378497</v>
      </c>
      <c r="W26" s="21">
        <f ca="1">M79</f>
        <v>0.73423423423423428</v>
      </c>
      <c r="X26" s="20">
        <f ca="1">N79</f>
        <v>0.72522522522522526</v>
      </c>
      <c r="Z26" s="32" t="s">
        <v>332</v>
      </c>
      <c r="AA26" s="40">
        <v>855</v>
      </c>
      <c r="AB26" s="40">
        <v>569</v>
      </c>
      <c r="AC26" s="40">
        <v>1198</v>
      </c>
      <c r="AD26" s="41">
        <v>2386</v>
      </c>
    </row>
    <row r="27" spans="1:30">
      <c r="A27" s="15" t="s">
        <v>300</v>
      </c>
      <c r="B27">
        <v>30</v>
      </c>
      <c r="C27">
        <f ca="1">Final_evaluation!$N$226</f>
        <v>3</v>
      </c>
      <c r="D27">
        <f ca="1">Final_evaluation!$O$226</f>
        <v>5</v>
      </c>
      <c r="E27">
        <f ca="1">Final_evaluation!$N$227</f>
        <v>5</v>
      </c>
      <c r="F27">
        <f ca="1">Final_evaluation!$O$227</f>
        <v>3</v>
      </c>
      <c r="G27">
        <f t="shared" ref="G27:G33" ca="1" si="20">C27/B27</f>
        <v>0.1</v>
      </c>
      <c r="H27">
        <f t="shared" ref="H27:H33" ca="1" si="21">D27/B27</f>
        <v>0.16666666666666666</v>
      </c>
      <c r="I27">
        <f ca="1">E27/B27</f>
        <v>0.16666666666666666</v>
      </c>
      <c r="J27">
        <f ca="1">F27/B27</f>
        <v>0.1</v>
      </c>
      <c r="K27">
        <f ca="1">($B$27/2-$E$27)/(($B$27/2-$E$27)+$C$27)</f>
        <v>0.76923076923076927</v>
      </c>
      <c r="L27">
        <f ca="1">($B$27/2-$F$27)/(($B$27/2-$F$27)+$D$27)</f>
        <v>0.70588235294117652</v>
      </c>
      <c r="M27">
        <f ca="1">($B$27/2-$E$27)/($B$27/2)</f>
        <v>0.66666666666666663</v>
      </c>
      <c r="N27">
        <f ca="1">($B$27/2-$F$27)/($B$27/2)</f>
        <v>0.8</v>
      </c>
      <c r="O27">
        <f ca="1">$K$27*$M$27*2/($K$27+$M$27)</f>
        <v>0.71428571428571419</v>
      </c>
      <c r="P27">
        <f ca="1">$L$27*$N$27*2/($L$27+$N$27)</f>
        <v>0.75000000000000011</v>
      </c>
      <c r="Q27">
        <f ca="1">($B$27-$C$27-$E$27)/$B$27</f>
        <v>0.73333333333333328</v>
      </c>
      <c r="R27">
        <f ca="1">($B$27-$D$27-$F$27)/$B$27</f>
        <v>0.73333333333333328</v>
      </c>
      <c r="T27" t="s">
        <v>301</v>
      </c>
      <c r="U27" s="28">
        <f ca="1">K90</f>
        <v>0.75126903553299473</v>
      </c>
      <c r="V27" s="22">
        <f ca="1">L90</f>
        <v>0.71134020618556693</v>
      </c>
      <c r="W27" s="21">
        <f ca="1">M90</f>
        <v>0.77927927927927931</v>
      </c>
      <c r="X27" s="20">
        <f ca="1">N90</f>
        <v>0.74774774774774777</v>
      </c>
      <c r="Z27" s="32" t="s">
        <v>333</v>
      </c>
      <c r="AA27" s="42">
        <v>0.73599999999999999</v>
      </c>
      <c r="AB27" s="42">
        <v>0.35899999999999999</v>
      </c>
      <c r="AC27" s="42">
        <v>0.93799999999999994</v>
      </c>
      <c r="AD27" s="43">
        <v>1.9810000000000001</v>
      </c>
    </row>
    <row r="28" spans="1:30">
      <c r="A28" s="15" t="s">
        <v>302</v>
      </c>
      <c r="B28">
        <v>30</v>
      </c>
      <c r="C28">
        <f ca="1">Final_evaluation!$N$228</f>
        <v>2</v>
      </c>
      <c r="D28">
        <f ca="1">Final_evaluation!$O$228</f>
        <v>3</v>
      </c>
      <c r="E28">
        <f ca="1">Final_evaluation!$N$229</f>
        <v>3</v>
      </c>
      <c r="F28">
        <f ca="1">Final_evaluation!$O$229</f>
        <v>1</v>
      </c>
      <c r="G28">
        <f t="shared" ca="1" si="20"/>
        <v>6.6666666666666666E-2</v>
      </c>
      <c r="H28">
        <f t="shared" ca="1" si="21"/>
        <v>0.1</v>
      </c>
      <c r="I28">
        <f t="shared" ref="I28:I33" ca="1" si="22">E28/B28</f>
        <v>0.1</v>
      </c>
      <c r="J28">
        <f t="shared" ref="J28:J33" ca="1" si="23">F28/B28</f>
        <v>3.3333333333333333E-2</v>
      </c>
      <c r="K28">
        <f ca="1">($B$28/2-$E$28)/(($B$28/2-$E$28)+$C$28)</f>
        <v>0.8571428571428571</v>
      </c>
      <c r="L28">
        <f ca="1">($B$28/2-$F$28)/(($B$28/2-$F$28)+$D$28)</f>
        <v>0.82352941176470584</v>
      </c>
      <c r="M28">
        <f ca="1">($B$28/2-$E$28)/($B$28/2)</f>
        <v>0.8</v>
      </c>
      <c r="N28">
        <f ca="1">($B$28/2-$F$28)/($B$28/2)</f>
        <v>0.93333333333333335</v>
      </c>
      <c r="O28">
        <f ca="1">$K$28*$M$28*2/($K$28+$M$28)</f>
        <v>0.82758620689655182</v>
      </c>
      <c r="P28">
        <f ca="1">$L$28*$N$28*2/($L$28+$N$28)</f>
        <v>0.87499999999999989</v>
      </c>
      <c r="Q28">
        <f ca="1">($B$28-$C$28-$E$28)/$B$28</f>
        <v>0.83333333333333337</v>
      </c>
      <c r="R28">
        <f ca="1">($B$28-$D$28-$F$28)/$B$28</f>
        <v>0.8666666666666667</v>
      </c>
      <c r="T28" t="s">
        <v>303</v>
      </c>
      <c r="U28" s="28">
        <f ca="1">K101</f>
        <v>0.80365296803652964</v>
      </c>
      <c r="V28" s="22">
        <f ca="1">L101</f>
        <v>0.79262672811059898</v>
      </c>
      <c r="W28" s="21">
        <f ca="1">M101</f>
        <v>0.80630630630630629</v>
      </c>
      <c r="X28" s="20">
        <f ca="1">N101</f>
        <v>0.79729729729729726</v>
      </c>
    </row>
    <row r="29" spans="1:30">
      <c r="A29" s="15" t="s">
        <v>304</v>
      </c>
      <c r="B29">
        <v>30</v>
      </c>
      <c r="C29">
        <f ca="1">Final_evaluation!$N$230</f>
        <v>5</v>
      </c>
      <c r="D29">
        <f ca="1">Final_evaluation!$O$230</f>
        <v>2</v>
      </c>
      <c r="E29">
        <f ca="1">Final_evaluation!$N$231</f>
        <v>8</v>
      </c>
      <c r="F29">
        <f ca="1">Final_evaluation!$O$231</f>
        <v>5</v>
      </c>
      <c r="G29">
        <f t="shared" ca="1" si="20"/>
        <v>0.16666666666666666</v>
      </c>
      <c r="H29">
        <f t="shared" ca="1" si="21"/>
        <v>6.6666666666666666E-2</v>
      </c>
      <c r="I29">
        <f t="shared" ca="1" si="22"/>
        <v>0.26666666666666666</v>
      </c>
      <c r="J29">
        <f t="shared" ca="1" si="23"/>
        <v>0.16666666666666666</v>
      </c>
      <c r="K29">
        <f ca="1">($B$29/2-$E$29)/(($B$29/2-$E$29)+$C$29)</f>
        <v>0.58333333333333337</v>
      </c>
      <c r="L29">
        <f ca="1">($B$29/2-$F$29)/(($B$29/2-$F$29)+$D$29)</f>
        <v>0.83333333333333337</v>
      </c>
      <c r="M29">
        <f ca="1">($B$29/2-$E$29)/($B$29/2)</f>
        <v>0.46666666666666667</v>
      </c>
      <c r="N29">
        <f ca="1">($B$29/2-$F$29)/($B$29/2)</f>
        <v>0.66666666666666663</v>
      </c>
      <c r="O29">
        <f ca="1">$K$29*$M$29*2/($K$29+$M$29)</f>
        <v>0.5185185185185186</v>
      </c>
      <c r="P29">
        <f ca="1">$L$29*$N$29*2/($L$29+$N$29)</f>
        <v>0.74074074074074081</v>
      </c>
      <c r="Q29">
        <f ca="1">($B$29-$C$29-$E$29)/$B$29</f>
        <v>0.56666666666666665</v>
      </c>
      <c r="R29">
        <f ca="1">($B$29-$D$29-$F$29)/$B$29</f>
        <v>0.76666666666666672</v>
      </c>
    </row>
    <row r="30" spans="1:30">
      <c r="A30" s="15" t="s">
        <v>305</v>
      </c>
      <c r="B30">
        <v>30</v>
      </c>
      <c r="C30">
        <f ca="1">Final_evaluation!$N$232</f>
        <v>4</v>
      </c>
      <c r="D30">
        <f ca="1">Final_evaluation!$O$232</f>
        <v>3</v>
      </c>
      <c r="E30">
        <f ca="1">Final_evaluation!$N$233</f>
        <v>4</v>
      </c>
      <c r="F30">
        <f ca="1">Final_evaluation!$O$233</f>
        <v>4</v>
      </c>
      <c r="G30">
        <f t="shared" ca="1" si="20"/>
        <v>0.13333333333333333</v>
      </c>
      <c r="H30">
        <f t="shared" ca="1" si="21"/>
        <v>0.1</v>
      </c>
      <c r="I30">
        <f t="shared" ca="1" si="22"/>
        <v>0.13333333333333333</v>
      </c>
      <c r="J30">
        <f t="shared" ca="1" si="23"/>
        <v>0.13333333333333333</v>
      </c>
      <c r="K30">
        <f ca="1">($B$30/2-$E$30)/(($B$30/2-$E$30)+$C$30)</f>
        <v>0.73333333333333328</v>
      </c>
      <c r="L30">
        <f ca="1">($B$30/2-$F$30)/(($B$30/2-$F$30)+$D$30)</f>
        <v>0.7857142857142857</v>
      </c>
      <c r="M30">
        <f ca="1">($B$30/2-$E$30)/($B$30/2)</f>
        <v>0.73333333333333328</v>
      </c>
      <c r="N30">
        <f ca="1">($B$30/2-$F$30)/($B$30/2)</f>
        <v>0.73333333333333328</v>
      </c>
      <c r="O30">
        <f ca="1">$K$30*$M$30*2/($K$30+$M$30)</f>
        <v>0.73333333333333328</v>
      </c>
      <c r="P30">
        <f ca="1">$L$30*$N$30*2/($L$30+$N$30)</f>
        <v>0.75862068965517238</v>
      </c>
      <c r="Q30">
        <f ca="1">($B$30-$C$30-$E$30)/$B$30</f>
        <v>0.73333333333333328</v>
      </c>
      <c r="R30">
        <f ca="1">($B$30-$D$30-$F$30)/$B$30</f>
        <v>0.76666666666666672</v>
      </c>
    </row>
    <row r="31" spans="1:30">
      <c r="A31" s="15" t="s">
        <v>311</v>
      </c>
      <c r="B31">
        <v>32</v>
      </c>
      <c r="C31">
        <f ca="1">Final_evaluation!$N$234</f>
        <v>3</v>
      </c>
      <c r="D31">
        <f ca="1">Final_evaluation!$O$234</f>
        <v>4</v>
      </c>
      <c r="E31">
        <f ca="1">Final_evaluation!$N$235</f>
        <v>8</v>
      </c>
      <c r="F31">
        <f ca="1">Final_evaluation!$O$235</f>
        <v>6</v>
      </c>
      <c r="G31">
        <f t="shared" ca="1" si="20"/>
        <v>9.375E-2</v>
      </c>
      <c r="H31">
        <f t="shared" ca="1" si="21"/>
        <v>0.125</v>
      </c>
      <c r="I31">
        <f t="shared" ca="1" si="22"/>
        <v>0.25</v>
      </c>
      <c r="J31">
        <f t="shared" ca="1" si="23"/>
        <v>0.1875</v>
      </c>
      <c r="K31">
        <f ca="1">($B$31/2-$E$31)/(($B$31/2-$E$31)+$C$31)</f>
        <v>0.72727272727272729</v>
      </c>
      <c r="L31">
        <f ca="1">($B$31/2-$F$31)/(($B$31/2-$F$31)+$D$31)</f>
        <v>0.7142857142857143</v>
      </c>
      <c r="M31">
        <f ca="1">($B$31/2-$E$31)/($B$31/2)</f>
        <v>0.5</v>
      </c>
      <c r="N31">
        <f ca="1">($B$31/2-$F$31)/($B$31/2)</f>
        <v>0.625</v>
      </c>
      <c r="O31">
        <f ca="1">$K$31*$M$31*2/($K$31+$M$31)</f>
        <v>0.59259259259259256</v>
      </c>
      <c r="P31">
        <f ca="1">$L$31*$N$31*2/($L$31+$N$31)</f>
        <v>0.66666666666666663</v>
      </c>
      <c r="Q31">
        <f ca="1">($B$31-$C$31-$E$31)/$B$31</f>
        <v>0.65625</v>
      </c>
      <c r="R31">
        <f ca="1">($B$31-$D$31-$F$31)/$B$31</f>
        <v>0.6875</v>
      </c>
    </row>
    <row r="32" spans="1:30">
      <c r="A32" s="15" t="s">
        <v>312</v>
      </c>
      <c r="B32">
        <v>40</v>
      </c>
      <c r="C32">
        <f ca="1">Final_evaluation!$N$236</f>
        <v>1</v>
      </c>
      <c r="D32">
        <f ca="1">Final_evaluation!$O$236</f>
        <v>1</v>
      </c>
      <c r="E32">
        <f ca="1">Final_evaluation!$N$237</f>
        <v>2</v>
      </c>
      <c r="F32">
        <f ca="1">Final_evaluation!$O$237</f>
        <v>1</v>
      </c>
      <c r="G32">
        <f t="shared" ca="1" si="20"/>
        <v>2.5000000000000001E-2</v>
      </c>
      <c r="H32">
        <f t="shared" ca="1" si="21"/>
        <v>2.5000000000000001E-2</v>
      </c>
      <c r="I32">
        <f t="shared" ca="1" si="22"/>
        <v>0.05</v>
      </c>
      <c r="J32">
        <f t="shared" ca="1" si="23"/>
        <v>2.5000000000000001E-2</v>
      </c>
      <c r="K32">
        <f ca="1">($B$32/2-$E$32)/(($B$32/2-$E$32)+$C$32)</f>
        <v>0.94736842105263153</v>
      </c>
      <c r="L32">
        <f ca="1">($B$32/2-$F$32)/(($B$32/2-$F$32)+$D$32)</f>
        <v>0.95</v>
      </c>
      <c r="M32">
        <f ca="1">($B$32/2-$E$32)/($B$32/2)</f>
        <v>0.9</v>
      </c>
      <c r="N32">
        <f ca="1">($B$32/2-$F$32)/($B$32/2)</f>
        <v>0.95</v>
      </c>
      <c r="O32">
        <f ca="1">$K$32*$M$32*2/($K$32+$M$32)</f>
        <v>0.92307692307692313</v>
      </c>
      <c r="P32">
        <f ca="1">$L$32*$N$32*2/($L$32+$N$32)</f>
        <v>0.95000000000000007</v>
      </c>
      <c r="Q32">
        <f ca="1">($B$32-$C$32-$E$32)/$B$32</f>
        <v>0.92500000000000004</v>
      </c>
      <c r="R32">
        <f ca="1">($B$32-$D$32-$F$32)/$B$32</f>
        <v>0.95</v>
      </c>
    </row>
    <row r="33" spans="1:26">
      <c r="A33" s="15" t="s">
        <v>313</v>
      </c>
      <c r="B33">
        <f>SUM(B26:B32)</f>
        <v>222</v>
      </c>
      <c r="C33">
        <f ca="1">SUM(C26:C32)</f>
        <v>21</v>
      </c>
      <c r="D33">
        <f t="shared" ref="D33:F33" ca="1" si="24">SUM(D26:D32)</f>
        <v>20</v>
      </c>
      <c r="E33">
        <f t="shared" ca="1" si="24"/>
        <v>32</v>
      </c>
      <c r="F33">
        <f t="shared" ca="1" si="24"/>
        <v>23</v>
      </c>
      <c r="G33">
        <f t="shared" ca="1" si="20"/>
        <v>9.45945945945946E-2</v>
      </c>
      <c r="H33">
        <f t="shared" ca="1" si="21"/>
        <v>9.0090090090090086E-2</v>
      </c>
      <c r="I33">
        <f t="shared" ca="1" si="22"/>
        <v>0.14414414414414414</v>
      </c>
      <c r="J33">
        <f t="shared" ca="1" si="23"/>
        <v>0.1036036036036036</v>
      </c>
      <c r="K33">
        <f ca="1">($B$33/2-$E$33)/(($B$33/2-$E$33)+$C$33)</f>
        <v>0.79</v>
      </c>
      <c r="L33">
        <f ca="1">($B$33/2-$F$33)/(($B$33/2-$F$33)+$D$33)</f>
        <v>0.81481481481481477</v>
      </c>
      <c r="M33">
        <f ca="1">($B$33/2-$E$33)/($B$33/2)</f>
        <v>0.71171171171171166</v>
      </c>
      <c r="N33">
        <f ca="1">($B$33/2-$F$33)/($B$33/2)</f>
        <v>0.7927927927927928</v>
      </c>
      <c r="O33">
        <f ca="1">$K$33*$M$33*2/($K$33+$M$33)</f>
        <v>0.74881516587677732</v>
      </c>
      <c r="P33">
        <f ca="1">$L$33*$N$33*2/($L$33+$N$33)</f>
        <v>0.80365296803652964</v>
      </c>
      <c r="Q33">
        <f ca="1">($B$33-$C$33-$E$33)/$B$33</f>
        <v>0.76126126126126126</v>
      </c>
      <c r="R33">
        <f ca="1">($B$33-$D$33-$F$33)/$B$33</f>
        <v>0.80630630630630629</v>
      </c>
    </row>
    <row r="35" spans="1:26">
      <c r="A35" t="s">
        <v>334</v>
      </c>
    </row>
    <row r="37" spans="1:26">
      <c r="A37" s="12" t="s">
        <v>280</v>
      </c>
      <c r="B37" s="13" t="s">
        <v>281</v>
      </c>
      <c r="C37" s="13" t="s">
        <v>283</v>
      </c>
      <c r="D37" s="13" t="s">
        <v>335</v>
      </c>
      <c r="E37" s="13" t="s">
        <v>336</v>
      </c>
      <c r="F37" s="13" t="s">
        <v>337</v>
      </c>
      <c r="G37" s="13" t="s">
        <v>285</v>
      </c>
      <c r="H37" s="13" t="s">
        <v>338</v>
      </c>
      <c r="I37" s="13" t="s">
        <v>339</v>
      </c>
      <c r="J37" s="13" t="s">
        <v>340</v>
      </c>
      <c r="K37" s="13" t="s">
        <v>291</v>
      </c>
      <c r="L37" s="13" t="s">
        <v>341</v>
      </c>
      <c r="M37" s="13" t="s">
        <v>342</v>
      </c>
      <c r="N37" s="13" t="s">
        <v>343</v>
      </c>
      <c r="O37" s="13" t="s">
        <v>293</v>
      </c>
      <c r="P37" s="13" t="s">
        <v>344</v>
      </c>
      <c r="Q37" s="13" t="s">
        <v>345</v>
      </c>
      <c r="R37" s="13" t="s">
        <v>346</v>
      </c>
      <c r="S37" s="13" t="s">
        <v>295</v>
      </c>
      <c r="T37" s="13" t="s">
        <v>316</v>
      </c>
      <c r="U37" s="13" t="s">
        <v>317</v>
      </c>
      <c r="V37" s="13" t="s">
        <v>318</v>
      </c>
      <c r="W37" s="14" t="s">
        <v>297</v>
      </c>
      <c r="X37" s="14" t="s">
        <v>319</v>
      </c>
      <c r="Y37" s="14" t="s">
        <v>320</v>
      </c>
      <c r="Z37" s="14" t="s">
        <v>321</v>
      </c>
    </row>
    <row r="38" spans="1:26">
      <c r="A38" s="15" t="s">
        <v>298</v>
      </c>
      <c r="B38">
        <v>30</v>
      </c>
      <c r="C38">
        <f ca="1">Final_evaluation!$C$224</f>
        <v>11</v>
      </c>
      <c r="D38">
        <f ca="1">Final_evaluation!$E$224</f>
        <v>8</v>
      </c>
      <c r="E38">
        <f ca="1">Final_evaluation!$F$224</f>
        <v>8</v>
      </c>
      <c r="F38">
        <f ca="1">Final_evaluation!$G$224</f>
        <v>11</v>
      </c>
      <c r="G38">
        <f ca="1">Final_evaluation!$C$225</f>
        <v>1</v>
      </c>
      <c r="H38">
        <f ca="1">Final_evaluation!$E$225</f>
        <v>1</v>
      </c>
      <c r="I38">
        <f ca="1">Final_evaluation!$F$225</f>
        <v>2</v>
      </c>
      <c r="J38">
        <f ca="1">Final_evaluation!$G$225</f>
        <v>1</v>
      </c>
      <c r="K38">
        <f ca="1">($B38/2-$G38)/(($B38/2-$G38)+$C38)</f>
        <v>0.56000000000000005</v>
      </c>
      <c r="L38">
        <f ca="1">($B38/2-$H38)/(($B38/2-$H38)+$D38)</f>
        <v>0.63636363636363635</v>
      </c>
      <c r="M38">
        <f ca="1">($B38/2-$I38)/(($B38/2-$I38)+$E38)</f>
        <v>0.61904761904761907</v>
      </c>
      <c r="N38">
        <f ca="1">($B38/2-$J38)/(($B38/2-$J38)+$F38)</f>
        <v>0.56000000000000005</v>
      </c>
      <c r="O38">
        <f ca="1">($B38/2-$G38)/($B38/2)</f>
        <v>0.93333333333333335</v>
      </c>
      <c r="P38">
        <f ca="1">($B38/2-$H38)/($B38/2)</f>
        <v>0.93333333333333335</v>
      </c>
      <c r="Q38">
        <f ca="1">($B38/2-$I38)/($B38/2)</f>
        <v>0.8666666666666667</v>
      </c>
      <c r="R38">
        <f ca="1">($B38/2-$J38)/($B38/2)</f>
        <v>0.93333333333333335</v>
      </c>
      <c r="S38">
        <f ca="1">$K38*$O38*2/($K38+$O38)</f>
        <v>0.70000000000000007</v>
      </c>
      <c r="T38">
        <f ca="1">$L38*$P38*2/($L38+$P38)</f>
        <v>0.7567567567567568</v>
      </c>
      <c r="U38">
        <f ca="1">$M38*$Q38*2/($M38+$Q38)</f>
        <v>0.72222222222222221</v>
      </c>
      <c r="V38">
        <f ca="1">$N38*$R38*2/($N38+$R38)</f>
        <v>0.70000000000000007</v>
      </c>
      <c r="W38">
        <f ca="1">($B38-$C38-$G38)/$B38</f>
        <v>0.6</v>
      </c>
      <c r="X38">
        <f ca="1">($B38-$D38-$H38)/$B38</f>
        <v>0.7</v>
      </c>
      <c r="Y38">
        <f ca="1">($B38-$E38-$I38)/$B38</f>
        <v>0.66666666666666663</v>
      </c>
      <c r="Z38">
        <f ca="1">($B38-$F38-$J38)/$B38</f>
        <v>0.6</v>
      </c>
    </row>
    <row r="39" spans="1:26">
      <c r="A39" s="15" t="s">
        <v>300</v>
      </c>
      <c r="B39">
        <v>30</v>
      </c>
      <c r="C39">
        <f ca="1">Final_evaluation!$C$226</f>
        <v>10</v>
      </c>
      <c r="D39">
        <f ca="1">Final_evaluation!$E$226</f>
        <v>9</v>
      </c>
      <c r="E39">
        <f ca="1">Final_evaluation!$F$226</f>
        <v>5</v>
      </c>
      <c r="F39">
        <f ca="1">Final_evaluation!$G$226</f>
        <v>8</v>
      </c>
      <c r="G39">
        <f ca="1">Final_evaluation!$C$227</f>
        <v>2</v>
      </c>
      <c r="H39">
        <f ca="1">Final_evaluation!$E$227</f>
        <v>4</v>
      </c>
      <c r="I39">
        <f ca="1">Final_evaluation!$F$227</f>
        <v>5</v>
      </c>
      <c r="J39">
        <f ca="1">Final_evaluation!$G$227</f>
        <v>2</v>
      </c>
      <c r="K39">
        <f t="shared" ref="K39:K45" ca="1" si="25">($B39/2-$G39)/(($B39/2-$G39)+$C39)</f>
        <v>0.56521739130434778</v>
      </c>
      <c r="L39">
        <f t="shared" ref="L39:L45" ca="1" si="26">($B39/2-$H39)/(($B39/2-$H39)+$D39)</f>
        <v>0.55000000000000004</v>
      </c>
      <c r="M39">
        <f t="shared" ref="M39:M45" ca="1" si="27">($B39/2-$I39)/(($B39/2-$I39)+$E39)</f>
        <v>0.66666666666666663</v>
      </c>
      <c r="N39">
        <f t="shared" ref="N39:N45" ca="1" si="28">($B39/2-$J39)/(($B39/2-$J39)+$F39)</f>
        <v>0.61904761904761907</v>
      </c>
      <c r="O39">
        <f t="shared" ref="O39:O45" ca="1" si="29">($B39/2-$G39)/($B39/2)</f>
        <v>0.8666666666666667</v>
      </c>
      <c r="P39">
        <f t="shared" ref="P39:P45" ca="1" si="30">($B39/2-$H39)/($B39/2)</f>
        <v>0.73333333333333328</v>
      </c>
      <c r="Q39">
        <f t="shared" ref="Q39:Q45" ca="1" si="31">($B39/2-$I39)/($B39/2)</f>
        <v>0.66666666666666663</v>
      </c>
      <c r="R39">
        <f t="shared" ref="R39:R45" ca="1" si="32">($B39/2-$J39)/($B39/2)</f>
        <v>0.8666666666666667</v>
      </c>
      <c r="S39">
        <f t="shared" ref="S39:S45" ca="1" si="33">$K39*$O39*2/($K39+$O39)</f>
        <v>0.68421052631578949</v>
      </c>
      <c r="T39">
        <f t="shared" ref="T39:T45" ca="1" si="34">$L39*$P39*2/($L39+$P39)</f>
        <v>0.62857142857142856</v>
      </c>
      <c r="U39">
        <f t="shared" ref="U39:U45" ca="1" si="35">$M39*$Q39*2/($M39+$Q39)</f>
        <v>0.66666666666666663</v>
      </c>
      <c r="V39">
        <f t="shared" ref="V39:V45" ca="1" si="36">$N39*$R39*2/($N39+$R39)</f>
        <v>0.72222222222222221</v>
      </c>
      <c r="W39">
        <f t="shared" ref="W39:W45" ca="1" si="37">($B39-$C39-$G39)/$B39</f>
        <v>0.6</v>
      </c>
      <c r="X39">
        <f t="shared" ref="X39:X45" ca="1" si="38">($B39-$D39-$H39)/$B39</f>
        <v>0.56666666666666665</v>
      </c>
      <c r="Y39">
        <f t="shared" ref="Y39:Y45" ca="1" si="39">($B39-$E39-$I39)/$B39</f>
        <v>0.66666666666666663</v>
      </c>
      <c r="Z39">
        <f t="shared" ref="Z39:Z45" ca="1" si="40">($B39-$F39-$J39)/$B39</f>
        <v>0.66666666666666663</v>
      </c>
    </row>
    <row r="40" spans="1:26">
      <c r="A40" s="15" t="s">
        <v>302</v>
      </c>
      <c r="B40">
        <v>30</v>
      </c>
      <c r="C40">
        <f ca="1">Final_evaluation!$C$228</f>
        <v>4</v>
      </c>
      <c r="D40">
        <f ca="1">Final_evaluation!$E$228</f>
        <v>5</v>
      </c>
      <c r="E40">
        <f ca="1">Final_evaluation!$F$228</f>
        <v>3</v>
      </c>
      <c r="F40">
        <f ca="1">Final_evaluation!$G$228</f>
        <v>4</v>
      </c>
      <c r="G40">
        <f ca="1">Final_evaluation!$C$229</f>
        <v>0</v>
      </c>
      <c r="H40">
        <f ca="1">Final_evaluation!$E$229</f>
        <v>0</v>
      </c>
      <c r="I40">
        <f ca="1">Final_evaluation!$F$229</f>
        <v>2</v>
      </c>
      <c r="J40">
        <f ca="1">Final_evaluation!$G$229</f>
        <v>2</v>
      </c>
      <c r="K40">
        <f t="shared" ca="1" si="25"/>
        <v>0.78947368421052633</v>
      </c>
      <c r="L40">
        <f t="shared" ca="1" si="26"/>
        <v>0.75</v>
      </c>
      <c r="M40">
        <f t="shared" ca="1" si="27"/>
        <v>0.8125</v>
      </c>
      <c r="N40">
        <f t="shared" ca="1" si="28"/>
        <v>0.76470588235294112</v>
      </c>
      <c r="O40">
        <f t="shared" ca="1" si="29"/>
        <v>1</v>
      </c>
      <c r="P40">
        <f t="shared" ca="1" si="30"/>
        <v>1</v>
      </c>
      <c r="Q40">
        <f t="shared" ca="1" si="31"/>
        <v>0.8666666666666667</v>
      </c>
      <c r="R40">
        <f t="shared" ca="1" si="32"/>
        <v>0.8666666666666667</v>
      </c>
      <c r="S40">
        <f t="shared" ca="1" si="33"/>
        <v>0.88235294117647056</v>
      </c>
      <c r="T40">
        <f t="shared" ca="1" si="34"/>
        <v>0.8571428571428571</v>
      </c>
      <c r="U40">
        <f t="shared" ca="1" si="35"/>
        <v>0.83870967741935487</v>
      </c>
      <c r="V40">
        <f t="shared" ca="1" si="36"/>
        <v>0.8125</v>
      </c>
      <c r="W40">
        <f t="shared" ca="1" si="37"/>
        <v>0.8666666666666667</v>
      </c>
      <c r="X40">
        <f t="shared" ca="1" si="38"/>
        <v>0.83333333333333337</v>
      </c>
      <c r="Y40">
        <f t="shared" ca="1" si="39"/>
        <v>0.83333333333333337</v>
      </c>
      <c r="Z40">
        <f t="shared" ca="1" si="40"/>
        <v>0.8</v>
      </c>
    </row>
    <row r="41" spans="1:26">
      <c r="A41" s="15" t="s">
        <v>304</v>
      </c>
      <c r="B41">
        <v>30</v>
      </c>
      <c r="C41">
        <f ca="1">Final_evaluation!$C$230</f>
        <v>3</v>
      </c>
      <c r="D41">
        <f ca="1">Final_evaluation!$E$230</f>
        <v>3</v>
      </c>
      <c r="E41">
        <f ca="1">Final_evaluation!$F$230</f>
        <v>2</v>
      </c>
      <c r="F41">
        <f ca="1">Final_evaluation!$G$230</f>
        <v>4</v>
      </c>
      <c r="G41">
        <f ca="1">Final_evaluation!$C$231</f>
        <v>1</v>
      </c>
      <c r="H41">
        <f ca="1">Final_evaluation!$E$231</f>
        <v>1</v>
      </c>
      <c r="I41">
        <f ca="1">Final_evaluation!$F$231</f>
        <v>4</v>
      </c>
      <c r="J41">
        <f ca="1">Final_evaluation!$G$231</f>
        <v>2</v>
      </c>
      <c r="K41">
        <f t="shared" ca="1" si="25"/>
        <v>0.82352941176470584</v>
      </c>
      <c r="L41">
        <f t="shared" ca="1" si="26"/>
        <v>0.82352941176470584</v>
      </c>
      <c r="M41">
        <f t="shared" ca="1" si="27"/>
        <v>0.84615384615384615</v>
      </c>
      <c r="N41">
        <f t="shared" ca="1" si="28"/>
        <v>0.76470588235294112</v>
      </c>
      <c r="O41">
        <f t="shared" ca="1" si="29"/>
        <v>0.93333333333333335</v>
      </c>
      <c r="P41">
        <f t="shared" ca="1" si="30"/>
        <v>0.93333333333333335</v>
      </c>
      <c r="Q41">
        <f t="shared" ca="1" si="31"/>
        <v>0.73333333333333328</v>
      </c>
      <c r="R41">
        <f t="shared" ca="1" si="32"/>
        <v>0.8666666666666667</v>
      </c>
      <c r="S41">
        <f t="shared" ca="1" si="33"/>
        <v>0.87499999999999989</v>
      </c>
      <c r="T41">
        <f t="shared" ca="1" si="34"/>
        <v>0.87499999999999989</v>
      </c>
      <c r="U41">
        <f t="shared" ca="1" si="35"/>
        <v>0.78571428571428559</v>
      </c>
      <c r="V41">
        <f t="shared" ca="1" si="36"/>
        <v>0.8125</v>
      </c>
      <c r="W41">
        <f t="shared" ca="1" si="37"/>
        <v>0.8666666666666667</v>
      </c>
      <c r="X41">
        <f t="shared" ca="1" si="38"/>
        <v>0.8666666666666667</v>
      </c>
      <c r="Y41">
        <f t="shared" ca="1" si="39"/>
        <v>0.8</v>
      </c>
      <c r="Z41">
        <f t="shared" ca="1" si="40"/>
        <v>0.8</v>
      </c>
    </row>
    <row r="42" spans="1:26">
      <c r="A42" s="15" t="s">
        <v>305</v>
      </c>
      <c r="B42">
        <v>30</v>
      </c>
      <c r="C42">
        <f ca="1">Final_evaluation!$C$232</f>
        <v>10</v>
      </c>
      <c r="D42">
        <f ca="1">Final_evaluation!$E$232</f>
        <v>10</v>
      </c>
      <c r="E42">
        <f ca="1">Final_evaluation!$F$232</f>
        <v>8</v>
      </c>
      <c r="F42">
        <f ca="1">Final_evaluation!$G$232</f>
        <v>9</v>
      </c>
      <c r="G42">
        <f ca="1">Final_evaluation!$C$233</f>
        <v>3</v>
      </c>
      <c r="H42">
        <f ca="1">Final_evaluation!$E$233</f>
        <v>1</v>
      </c>
      <c r="I42">
        <f ca="1">Final_evaluation!$F$233</f>
        <v>1</v>
      </c>
      <c r="J42">
        <f ca="1">Final_evaluation!$G$233</f>
        <v>1</v>
      </c>
      <c r="K42">
        <f t="shared" ca="1" si="25"/>
        <v>0.54545454545454541</v>
      </c>
      <c r="L42">
        <f t="shared" ca="1" si="26"/>
        <v>0.58333333333333337</v>
      </c>
      <c r="M42">
        <f t="shared" ca="1" si="27"/>
        <v>0.63636363636363635</v>
      </c>
      <c r="N42">
        <f t="shared" ca="1" si="28"/>
        <v>0.60869565217391308</v>
      </c>
      <c r="O42">
        <f t="shared" ca="1" si="29"/>
        <v>0.8</v>
      </c>
      <c r="P42">
        <f t="shared" ca="1" si="30"/>
        <v>0.93333333333333335</v>
      </c>
      <c r="Q42">
        <f t="shared" ca="1" si="31"/>
        <v>0.93333333333333335</v>
      </c>
      <c r="R42">
        <f t="shared" ca="1" si="32"/>
        <v>0.93333333333333335</v>
      </c>
      <c r="S42">
        <f t="shared" ca="1" si="33"/>
        <v>0.64864864864864857</v>
      </c>
      <c r="T42">
        <f t="shared" ca="1" si="34"/>
        <v>0.71794871794871806</v>
      </c>
      <c r="U42">
        <f t="shared" ca="1" si="35"/>
        <v>0.7567567567567568</v>
      </c>
      <c r="V42">
        <f t="shared" ca="1" si="36"/>
        <v>0.73684210526315785</v>
      </c>
      <c r="W42">
        <f t="shared" ca="1" si="37"/>
        <v>0.56666666666666665</v>
      </c>
      <c r="X42">
        <f t="shared" ca="1" si="38"/>
        <v>0.6333333333333333</v>
      </c>
      <c r="Y42">
        <f t="shared" ca="1" si="39"/>
        <v>0.7</v>
      </c>
      <c r="Z42">
        <f t="shared" ca="1" si="40"/>
        <v>0.66666666666666663</v>
      </c>
    </row>
    <row r="43" spans="1:26">
      <c r="A43" s="15" t="s">
        <v>311</v>
      </c>
      <c r="B43">
        <v>32</v>
      </c>
      <c r="C43">
        <f ca="1">Final_evaluation!$C$234</f>
        <v>6</v>
      </c>
      <c r="D43">
        <f ca="1">Final_evaluation!$E$234</f>
        <v>4</v>
      </c>
      <c r="E43">
        <f ca="1">Final_evaluation!$F$234</f>
        <v>8</v>
      </c>
      <c r="F43">
        <f ca="1">Final_evaluation!$G$234</f>
        <v>8</v>
      </c>
      <c r="G43">
        <f ca="1">Final_evaluation!$C$235</f>
        <v>5</v>
      </c>
      <c r="H43">
        <f ca="1">Final_evaluation!$E$235</f>
        <v>6</v>
      </c>
      <c r="I43">
        <f ca="1">Final_evaluation!$F$235</f>
        <v>2</v>
      </c>
      <c r="J43">
        <f ca="1">Final_evaluation!$G$235</f>
        <v>5</v>
      </c>
      <c r="K43">
        <f t="shared" ca="1" si="25"/>
        <v>0.6470588235294118</v>
      </c>
      <c r="L43">
        <f t="shared" ca="1" si="26"/>
        <v>0.7142857142857143</v>
      </c>
      <c r="M43">
        <f t="shared" ca="1" si="27"/>
        <v>0.63636363636363635</v>
      </c>
      <c r="N43">
        <f t="shared" ca="1" si="28"/>
        <v>0.57894736842105265</v>
      </c>
      <c r="O43">
        <f t="shared" ca="1" si="29"/>
        <v>0.6875</v>
      </c>
      <c r="P43">
        <f t="shared" ca="1" si="30"/>
        <v>0.625</v>
      </c>
      <c r="Q43">
        <f t="shared" ca="1" si="31"/>
        <v>0.875</v>
      </c>
      <c r="R43">
        <f t="shared" ca="1" si="32"/>
        <v>0.6875</v>
      </c>
      <c r="S43">
        <f t="shared" ca="1" si="33"/>
        <v>0.66666666666666674</v>
      </c>
      <c r="T43">
        <f t="shared" ca="1" si="34"/>
        <v>0.66666666666666663</v>
      </c>
      <c r="U43">
        <f t="shared" ca="1" si="35"/>
        <v>0.73684210526315785</v>
      </c>
      <c r="V43">
        <f t="shared" ca="1" si="36"/>
        <v>0.62857142857142856</v>
      </c>
      <c r="W43">
        <f t="shared" ca="1" si="37"/>
        <v>0.65625</v>
      </c>
      <c r="X43">
        <f t="shared" ca="1" si="38"/>
        <v>0.6875</v>
      </c>
      <c r="Y43">
        <f t="shared" ca="1" si="39"/>
        <v>0.6875</v>
      </c>
      <c r="Z43">
        <f t="shared" ca="1" si="40"/>
        <v>0.59375</v>
      </c>
    </row>
    <row r="44" spans="1:26">
      <c r="A44" s="15" t="s">
        <v>312</v>
      </c>
      <c r="B44">
        <v>40</v>
      </c>
      <c r="C44">
        <f ca="1">Final_evaluation!$C$236</f>
        <v>3</v>
      </c>
      <c r="D44">
        <f ca="1">Final_evaluation!$E$236</f>
        <v>4</v>
      </c>
      <c r="E44">
        <f ca="1">Final_evaluation!$F$236</f>
        <v>6</v>
      </c>
      <c r="F44">
        <f ca="1">Final_evaluation!$G$236</f>
        <v>4</v>
      </c>
      <c r="G44">
        <f ca="1">Final_evaluation!$C$237</f>
        <v>0</v>
      </c>
      <c r="H44">
        <f ca="1">Final_evaluation!$E$237</f>
        <v>1</v>
      </c>
      <c r="I44">
        <f ca="1">Final_evaluation!$F$237</f>
        <v>1</v>
      </c>
      <c r="J44">
        <f ca="1">Final_evaluation!$G$237</f>
        <v>1</v>
      </c>
      <c r="K44">
        <f t="shared" ca="1" si="25"/>
        <v>0.86956521739130432</v>
      </c>
      <c r="L44">
        <f t="shared" ca="1" si="26"/>
        <v>0.82608695652173914</v>
      </c>
      <c r="M44">
        <f t="shared" ca="1" si="27"/>
        <v>0.76</v>
      </c>
      <c r="N44">
        <f t="shared" ca="1" si="28"/>
        <v>0.82608695652173914</v>
      </c>
      <c r="O44">
        <f t="shared" ca="1" si="29"/>
        <v>1</v>
      </c>
      <c r="P44">
        <f t="shared" ca="1" si="30"/>
        <v>0.95</v>
      </c>
      <c r="Q44">
        <f t="shared" ca="1" si="31"/>
        <v>0.95</v>
      </c>
      <c r="R44">
        <f t="shared" ca="1" si="32"/>
        <v>0.95</v>
      </c>
      <c r="S44">
        <f t="shared" ca="1" si="33"/>
        <v>0.93023255813953487</v>
      </c>
      <c r="T44">
        <f t="shared" ca="1" si="34"/>
        <v>0.88372093023255827</v>
      </c>
      <c r="U44">
        <f t="shared" ca="1" si="35"/>
        <v>0.84444444444444444</v>
      </c>
      <c r="V44">
        <f t="shared" ca="1" si="36"/>
        <v>0.88372093023255827</v>
      </c>
      <c r="W44">
        <f t="shared" ca="1" si="37"/>
        <v>0.92500000000000004</v>
      </c>
      <c r="X44">
        <f t="shared" ca="1" si="38"/>
        <v>0.875</v>
      </c>
      <c r="Y44">
        <f t="shared" ca="1" si="39"/>
        <v>0.82499999999999996</v>
      </c>
      <c r="Z44">
        <f t="shared" ca="1" si="40"/>
        <v>0.875</v>
      </c>
    </row>
    <row r="45" spans="1:26">
      <c r="A45" s="15" t="s">
        <v>313</v>
      </c>
      <c r="B45">
        <f>SUM(B38:B44)</f>
        <v>222</v>
      </c>
      <c r="C45">
        <f ca="1">SUM(C38:C44)</f>
        <v>47</v>
      </c>
      <c r="D45">
        <f ca="1">SUM(D38:D44)</f>
        <v>43</v>
      </c>
      <c r="E45">
        <f t="shared" ref="E45:F45" ca="1" si="41">SUM(E38:E44)</f>
        <v>40</v>
      </c>
      <c r="F45">
        <f t="shared" ca="1" si="41"/>
        <v>48</v>
      </c>
      <c r="G45">
        <f ca="1">SUM(G38:G44)</f>
        <v>12</v>
      </c>
      <c r="H45">
        <f ca="1">SUM(H38:H44)</f>
        <v>14</v>
      </c>
      <c r="I45">
        <f ca="1">SUM(I38:I44)</f>
        <v>17</v>
      </c>
      <c r="J45">
        <f ca="1">SUM(J38:J44)</f>
        <v>14</v>
      </c>
      <c r="K45">
        <f t="shared" ca="1" si="25"/>
        <v>0.67808219178082196</v>
      </c>
      <c r="L45">
        <f t="shared" ca="1" si="26"/>
        <v>0.69285714285714284</v>
      </c>
      <c r="M45">
        <f t="shared" ca="1" si="27"/>
        <v>0.70149253731343286</v>
      </c>
      <c r="N45">
        <f t="shared" ca="1" si="28"/>
        <v>0.66896551724137931</v>
      </c>
      <c r="O45">
        <f t="shared" ca="1" si="29"/>
        <v>0.89189189189189189</v>
      </c>
      <c r="P45">
        <f t="shared" ca="1" si="30"/>
        <v>0.87387387387387383</v>
      </c>
      <c r="Q45">
        <f t="shared" ca="1" si="31"/>
        <v>0.84684684684684686</v>
      </c>
      <c r="R45">
        <f t="shared" ca="1" si="32"/>
        <v>0.87387387387387383</v>
      </c>
      <c r="S45">
        <f t="shared" ca="1" si="33"/>
        <v>0.77042801556420237</v>
      </c>
      <c r="T45">
        <f t="shared" ca="1" si="34"/>
        <v>0.77290836653386452</v>
      </c>
      <c r="U45">
        <f t="shared" ca="1" si="35"/>
        <v>0.76734693877551019</v>
      </c>
      <c r="V45">
        <f t="shared" ca="1" si="36"/>
        <v>0.7578125</v>
      </c>
      <c r="W45">
        <f t="shared" ca="1" si="37"/>
        <v>0.73423423423423428</v>
      </c>
      <c r="X45">
        <f t="shared" ca="1" si="38"/>
        <v>0.7432432432432432</v>
      </c>
      <c r="Y45">
        <f t="shared" ca="1" si="39"/>
        <v>0.7432432432432432</v>
      </c>
      <c r="Z45">
        <f t="shared" ca="1" si="40"/>
        <v>0.72072072072072069</v>
      </c>
    </row>
    <row r="48" spans="1:26">
      <c r="A48" s="12" t="s">
        <v>315</v>
      </c>
      <c r="B48" s="13" t="s">
        <v>281</v>
      </c>
      <c r="C48" s="13" t="s">
        <v>283</v>
      </c>
      <c r="D48" s="13" t="s">
        <v>335</v>
      </c>
      <c r="E48" s="13" t="s">
        <v>336</v>
      </c>
      <c r="F48" s="13" t="s">
        <v>337</v>
      </c>
      <c r="G48" s="13" t="s">
        <v>285</v>
      </c>
      <c r="H48" s="13" t="s">
        <v>338</v>
      </c>
      <c r="I48" s="13" t="s">
        <v>339</v>
      </c>
      <c r="J48" s="13" t="s">
        <v>340</v>
      </c>
      <c r="K48" s="13" t="s">
        <v>291</v>
      </c>
      <c r="L48" s="13" t="s">
        <v>341</v>
      </c>
      <c r="M48" s="13" t="s">
        <v>342</v>
      </c>
      <c r="N48" s="13" t="s">
        <v>343</v>
      </c>
      <c r="O48" s="13" t="s">
        <v>293</v>
      </c>
      <c r="P48" s="13" t="s">
        <v>344</v>
      </c>
      <c r="Q48" s="13" t="s">
        <v>345</v>
      </c>
      <c r="R48" s="13" t="s">
        <v>346</v>
      </c>
      <c r="S48" s="13" t="s">
        <v>295</v>
      </c>
      <c r="T48" s="13" t="s">
        <v>316</v>
      </c>
      <c r="U48" s="13" t="s">
        <v>317</v>
      </c>
      <c r="V48" s="13" t="s">
        <v>318</v>
      </c>
      <c r="W48" s="14" t="s">
        <v>297</v>
      </c>
      <c r="X48" s="14" t="s">
        <v>319</v>
      </c>
      <c r="Y48" s="14" t="s">
        <v>320</v>
      </c>
      <c r="Z48" s="14" t="s">
        <v>321</v>
      </c>
    </row>
    <row r="49" spans="1:26">
      <c r="A49" s="15" t="s">
        <v>298</v>
      </c>
      <c r="B49">
        <v>30</v>
      </c>
      <c r="C49">
        <f ca="1">Final_evaluation!$I$224</f>
        <v>0</v>
      </c>
      <c r="D49">
        <f ca="1">Final_evaluation!$K$224</f>
        <v>2</v>
      </c>
      <c r="E49">
        <f ca="1">Final_evaluation!$L$224</f>
        <v>2</v>
      </c>
      <c r="F49">
        <f ca="1">Final_evaluation!$M$224</f>
        <v>4</v>
      </c>
      <c r="G49">
        <f ca="1">Final_evaluation!$I$225</f>
        <v>2</v>
      </c>
      <c r="H49">
        <f ca="1">Final_evaluation!$K$225</f>
        <v>3</v>
      </c>
      <c r="I49">
        <f ca="1">Final_evaluation!$L$225</f>
        <v>3</v>
      </c>
      <c r="J49">
        <f ca="1">Final_evaluation!$M$225</f>
        <v>2</v>
      </c>
      <c r="K49">
        <f ca="1">($B49/2-$G49)/(($B49/2-$G49)+$C49)</f>
        <v>1</v>
      </c>
      <c r="L49">
        <f ca="1">($B49/2-$H49)/(($B49/2-$H49)+$D49)</f>
        <v>0.8571428571428571</v>
      </c>
      <c r="M49">
        <f ca="1">($B49/2-$I49)/(($B49/2-$I49)+$E49)</f>
        <v>0.8571428571428571</v>
      </c>
      <c r="N49">
        <f ca="1">($B49/2-$J49)/(($B49/2-$J49)+$F49)</f>
        <v>0.76470588235294112</v>
      </c>
      <c r="O49">
        <f ca="1">($B49/2-$G49)/($B49/2)</f>
        <v>0.8666666666666667</v>
      </c>
      <c r="P49">
        <f ca="1">($B49/2-$H49)/($B49/2)</f>
        <v>0.8</v>
      </c>
      <c r="Q49">
        <f ca="1">($B49/2-$I49)/($B49/2)</f>
        <v>0.8</v>
      </c>
      <c r="R49">
        <f ca="1">($B49/2-$J49)/($B49/2)</f>
        <v>0.8666666666666667</v>
      </c>
      <c r="S49">
        <f ca="1">$K49*$O49*2/($K49+$O49)</f>
        <v>0.9285714285714286</v>
      </c>
      <c r="T49">
        <f ca="1">$L49*$P49*2/($L49+$P49)</f>
        <v>0.82758620689655182</v>
      </c>
      <c r="U49">
        <f ca="1">$M49*$Q49*2/($M49+$Q49)</f>
        <v>0.82758620689655182</v>
      </c>
      <c r="V49">
        <f ca="1">$N49*$R49*2/($N49+$R49)</f>
        <v>0.8125</v>
      </c>
      <c r="W49">
        <f ca="1">($B49-$C49-$G49)/$B49</f>
        <v>0.93333333333333335</v>
      </c>
      <c r="X49">
        <f ca="1">($B49-$D49-$H49)/$B49</f>
        <v>0.83333333333333337</v>
      </c>
      <c r="Y49">
        <f ca="1">($B49-$E49-$I49)/$B49</f>
        <v>0.83333333333333337</v>
      </c>
      <c r="Z49">
        <f ca="1">($B49-$F49-$J49)/$B49</f>
        <v>0.8</v>
      </c>
    </row>
    <row r="50" spans="1:26">
      <c r="A50" s="15" t="s">
        <v>300</v>
      </c>
      <c r="B50">
        <v>30</v>
      </c>
      <c r="C50">
        <f ca="1">Final_evaluation!$I$226</f>
        <v>5</v>
      </c>
      <c r="D50">
        <f ca="1">Final_evaluation!$K$226</f>
        <v>4</v>
      </c>
      <c r="E50">
        <f ca="1">Final_evaluation!$L$226</f>
        <v>3</v>
      </c>
      <c r="F50">
        <f ca="1">Final_evaluation!$M$226</f>
        <v>6</v>
      </c>
      <c r="G50">
        <f ca="1">Final_evaluation!$I$227</f>
        <v>7</v>
      </c>
      <c r="H50">
        <f ca="1">Final_evaluation!$K$227</f>
        <v>11</v>
      </c>
      <c r="I50">
        <f ca="1">Final_evaluation!$L$227</f>
        <v>11</v>
      </c>
      <c r="J50">
        <f ca="1">Final_evaluation!$M$227</f>
        <v>6</v>
      </c>
      <c r="K50">
        <f t="shared" ref="K50:K56" ca="1" si="42">($B50/2-$G50)/(($B50/2-$G50)+$C50)</f>
        <v>0.61538461538461542</v>
      </c>
      <c r="L50">
        <f t="shared" ref="L50:L56" ca="1" si="43">($B50/2-$H50)/(($B50/2-$H50)+$D50)</f>
        <v>0.5</v>
      </c>
      <c r="M50">
        <f t="shared" ref="M50:M56" ca="1" si="44">($B50/2-$I50)/(($B50/2-$I50)+$E50)</f>
        <v>0.5714285714285714</v>
      </c>
      <c r="N50">
        <f t="shared" ref="N50:N56" ca="1" si="45">($B50/2-$J50)/(($B50/2-$J50)+$F50)</f>
        <v>0.6</v>
      </c>
      <c r="O50">
        <f t="shared" ref="O50:O56" ca="1" si="46">($B50/2-$G50)/($B50/2)</f>
        <v>0.53333333333333333</v>
      </c>
      <c r="P50">
        <f t="shared" ref="P50:P56" ca="1" si="47">($B50/2-$H50)/($B50/2)</f>
        <v>0.26666666666666666</v>
      </c>
      <c r="Q50">
        <f t="shared" ref="Q50:Q56" ca="1" si="48">($B50/2-$I50)/($B50/2)</f>
        <v>0.26666666666666666</v>
      </c>
      <c r="R50">
        <f t="shared" ref="R50:R56" ca="1" si="49">($B50/2-$J50)/($B50/2)</f>
        <v>0.6</v>
      </c>
      <c r="S50">
        <f ca="1">$K50*$O50*2/($K50+$O50)</f>
        <v>0.57142857142857151</v>
      </c>
      <c r="T50">
        <f t="shared" ref="T50:T56" ca="1" si="50">$L50*$P50*2/($L50+$P50)</f>
        <v>0.34782608695652178</v>
      </c>
      <c r="U50">
        <f t="shared" ref="U50:U56" ca="1" si="51">$M50*$Q50*2/($M50+$Q50)</f>
        <v>0.36363636363636365</v>
      </c>
      <c r="V50">
        <f t="shared" ref="V50:V56" ca="1" si="52">$N50*$R50*2/($N50+$R50)</f>
        <v>0.6</v>
      </c>
      <c r="W50">
        <f t="shared" ref="W50:W56" ca="1" si="53">($B50-$C50-$G50)/$B50</f>
        <v>0.6</v>
      </c>
      <c r="X50">
        <f t="shared" ref="X50:X56" ca="1" si="54">($B50-$D50-$H50)/$B50</f>
        <v>0.5</v>
      </c>
      <c r="Y50">
        <f t="shared" ref="Y50:Y56" ca="1" si="55">($B50-$E50-$I50)/$B50</f>
        <v>0.53333333333333333</v>
      </c>
      <c r="Z50">
        <f t="shared" ref="Z50:Z56" ca="1" si="56">($B50-$F50-$J50)/$B50</f>
        <v>0.6</v>
      </c>
    </row>
    <row r="51" spans="1:26">
      <c r="A51" s="15" t="s">
        <v>302</v>
      </c>
      <c r="B51">
        <v>30</v>
      </c>
      <c r="C51">
        <f ca="1">Final_evaluation!$I$228</f>
        <v>1</v>
      </c>
      <c r="D51">
        <f ca="1">Final_evaluation!$K$228</f>
        <v>2</v>
      </c>
      <c r="E51">
        <f ca="1">Final_evaluation!$L$228</f>
        <v>1</v>
      </c>
      <c r="F51">
        <f ca="1">Final_evaluation!$M$228</f>
        <v>2</v>
      </c>
      <c r="G51">
        <f ca="1">Final_evaluation!$I$229</f>
        <v>4</v>
      </c>
      <c r="H51">
        <f ca="1">Final_evaluation!$K$229</f>
        <v>3</v>
      </c>
      <c r="I51">
        <f ca="1">Final_evaluation!$L$229</f>
        <v>3</v>
      </c>
      <c r="J51">
        <f ca="1">Final_evaluation!$M$229</f>
        <v>4</v>
      </c>
      <c r="K51">
        <f t="shared" ca="1" si="42"/>
        <v>0.91666666666666663</v>
      </c>
      <c r="L51">
        <f t="shared" ca="1" si="43"/>
        <v>0.8571428571428571</v>
      </c>
      <c r="M51">
        <f t="shared" ca="1" si="44"/>
        <v>0.92307692307692313</v>
      </c>
      <c r="N51">
        <f t="shared" ca="1" si="45"/>
        <v>0.84615384615384615</v>
      </c>
      <c r="O51">
        <f t="shared" ca="1" si="46"/>
        <v>0.73333333333333328</v>
      </c>
      <c r="P51">
        <f t="shared" ca="1" si="47"/>
        <v>0.8</v>
      </c>
      <c r="Q51">
        <f t="shared" ca="1" si="48"/>
        <v>0.8</v>
      </c>
      <c r="R51">
        <f t="shared" ca="1" si="49"/>
        <v>0.73333333333333328</v>
      </c>
      <c r="S51">
        <f t="shared" ref="S50:S56" ca="1" si="57">$K51*$O51*2/($K51+$O51)</f>
        <v>0.81481481481481477</v>
      </c>
      <c r="T51">
        <f t="shared" ca="1" si="50"/>
        <v>0.82758620689655182</v>
      </c>
      <c r="U51">
        <f t="shared" ca="1" si="51"/>
        <v>0.8571428571428571</v>
      </c>
      <c r="V51">
        <f t="shared" ca="1" si="52"/>
        <v>0.78571428571428559</v>
      </c>
      <c r="W51">
        <f t="shared" ca="1" si="53"/>
        <v>0.83333333333333337</v>
      </c>
      <c r="X51">
        <f t="shared" ca="1" si="54"/>
        <v>0.83333333333333337</v>
      </c>
      <c r="Y51">
        <f t="shared" ca="1" si="55"/>
        <v>0.8666666666666667</v>
      </c>
      <c r="Z51">
        <f t="shared" ca="1" si="56"/>
        <v>0.8</v>
      </c>
    </row>
    <row r="52" spans="1:26">
      <c r="A52" s="15" t="s">
        <v>304</v>
      </c>
      <c r="B52">
        <v>30</v>
      </c>
      <c r="C52">
        <f ca="1">Final_evaluation!$I$230</f>
        <v>2</v>
      </c>
      <c r="D52">
        <f ca="1">Final_evaluation!$K$230</f>
        <v>3</v>
      </c>
      <c r="E52">
        <f ca="1">Final_evaluation!$L$230</f>
        <v>3</v>
      </c>
      <c r="F52">
        <f ca="1">Final_evaluation!$M$230</f>
        <v>6</v>
      </c>
      <c r="G52">
        <f ca="1">Final_evaluation!$I$231</f>
        <v>5</v>
      </c>
      <c r="H52">
        <f ca="1">Final_evaluation!$K$231</f>
        <v>6</v>
      </c>
      <c r="I52">
        <f ca="1">Final_evaluation!$L$231</f>
        <v>6</v>
      </c>
      <c r="J52">
        <f ca="1">Final_evaluation!$M$231</f>
        <v>5</v>
      </c>
      <c r="K52">
        <f t="shared" ca="1" si="42"/>
        <v>0.83333333333333337</v>
      </c>
      <c r="L52">
        <f t="shared" ca="1" si="43"/>
        <v>0.75</v>
      </c>
      <c r="M52">
        <f t="shared" ca="1" si="44"/>
        <v>0.75</v>
      </c>
      <c r="N52">
        <f t="shared" ca="1" si="45"/>
        <v>0.625</v>
      </c>
      <c r="O52">
        <f t="shared" ca="1" si="46"/>
        <v>0.66666666666666663</v>
      </c>
      <c r="P52">
        <f t="shared" ca="1" si="47"/>
        <v>0.6</v>
      </c>
      <c r="Q52">
        <f t="shared" ca="1" si="48"/>
        <v>0.6</v>
      </c>
      <c r="R52">
        <f t="shared" ca="1" si="49"/>
        <v>0.66666666666666663</v>
      </c>
      <c r="S52">
        <f t="shared" ca="1" si="57"/>
        <v>0.74074074074074081</v>
      </c>
      <c r="T52">
        <f t="shared" ca="1" si="50"/>
        <v>0.66666666666666652</v>
      </c>
      <c r="U52">
        <f t="shared" ca="1" si="51"/>
        <v>0.66666666666666652</v>
      </c>
      <c r="V52">
        <f t="shared" ca="1" si="52"/>
        <v>0.64516129032258063</v>
      </c>
      <c r="W52">
        <f t="shared" ca="1" si="53"/>
        <v>0.76666666666666672</v>
      </c>
      <c r="X52">
        <f t="shared" ca="1" si="54"/>
        <v>0.7</v>
      </c>
      <c r="Y52">
        <f t="shared" ca="1" si="55"/>
        <v>0.7</v>
      </c>
      <c r="Z52">
        <f t="shared" ca="1" si="56"/>
        <v>0.6333333333333333</v>
      </c>
    </row>
    <row r="53" spans="1:26">
      <c r="A53" s="15" t="s">
        <v>305</v>
      </c>
      <c r="B53">
        <v>30</v>
      </c>
      <c r="C53">
        <f ca="1">Final_evaluation!$I$232</f>
        <v>2</v>
      </c>
      <c r="D53">
        <f ca="1">Final_evaluation!$K$232</f>
        <v>3</v>
      </c>
      <c r="E53">
        <f ca="1">Final_evaluation!$L$232</f>
        <v>2</v>
      </c>
      <c r="F53">
        <f ca="1">Final_evaluation!$M$232</f>
        <v>3</v>
      </c>
      <c r="G53">
        <f ca="1">Final_evaluation!$I$233</f>
        <v>8</v>
      </c>
      <c r="H53">
        <f ca="1">Final_evaluation!$K$233</f>
        <v>8</v>
      </c>
      <c r="I53">
        <f ca="1">Final_evaluation!$L$233</f>
        <v>9</v>
      </c>
      <c r="J53">
        <f ca="1">Final_evaluation!$M$233</f>
        <v>9</v>
      </c>
      <c r="K53">
        <f t="shared" ca="1" si="42"/>
        <v>0.77777777777777779</v>
      </c>
      <c r="L53">
        <f t="shared" ca="1" si="43"/>
        <v>0.7</v>
      </c>
      <c r="M53">
        <f t="shared" ca="1" si="44"/>
        <v>0.75</v>
      </c>
      <c r="N53">
        <f t="shared" ca="1" si="45"/>
        <v>0.66666666666666663</v>
      </c>
      <c r="O53">
        <f t="shared" ca="1" si="46"/>
        <v>0.46666666666666667</v>
      </c>
      <c r="P53">
        <f t="shared" ca="1" si="47"/>
        <v>0.46666666666666667</v>
      </c>
      <c r="Q53">
        <f t="shared" ca="1" si="48"/>
        <v>0.4</v>
      </c>
      <c r="R53">
        <f t="shared" ca="1" si="49"/>
        <v>0.4</v>
      </c>
      <c r="S53">
        <f t="shared" ca="1" si="57"/>
        <v>0.58333333333333337</v>
      </c>
      <c r="T53">
        <f t="shared" ca="1" si="50"/>
        <v>0.56000000000000005</v>
      </c>
      <c r="U53">
        <f t="shared" ca="1" si="51"/>
        <v>0.52173913043478271</v>
      </c>
      <c r="V53">
        <f t="shared" ca="1" si="52"/>
        <v>0.5</v>
      </c>
      <c r="W53">
        <f t="shared" ca="1" si="53"/>
        <v>0.66666666666666663</v>
      </c>
      <c r="X53">
        <f t="shared" ca="1" si="54"/>
        <v>0.6333333333333333</v>
      </c>
      <c r="Y53">
        <f t="shared" ca="1" si="55"/>
        <v>0.6333333333333333</v>
      </c>
      <c r="Z53">
        <f t="shared" ca="1" si="56"/>
        <v>0.6</v>
      </c>
    </row>
    <row r="54" spans="1:26">
      <c r="A54" s="15" t="s">
        <v>311</v>
      </c>
      <c r="B54">
        <v>32</v>
      </c>
      <c r="C54">
        <f ca="1">Final_evaluation!$I$234</f>
        <v>2</v>
      </c>
      <c r="D54">
        <f ca="1">Final_evaluation!$K$234</f>
        <v>3</v>
      </c>
      <c r="E54">
        <f ca="1">Final_evaluation!$L$234</f>
        <v>4</v>
      </c>
      <c r="F54">
        <f ca="1">Final_evaluation!$M$234</f>
        <v>4</v>
      </c>
      <c r="G54">
        <f ca="1">Final_evaluation!$I$235</f>
        <v>9</v>
      </c>
      <c r="H54">
        <f ca="1">Final_evaluation!$K$235</f>
        <v>11</v>
      </c>
      <c r="I54">
        <f ca="1">Final_evaluation!$L$235</f>
        <v>9</v>
      </c>
      <c r="J54">
        <f ca="1">Final_evaluation!$M$235</f>
        <v>10</v>
      </c>
      <c r="K54">
        <f t="shared" ca="1" si="42"/>
        <v>0.77777777777777779</v>
      </c>
      <c r="L54">
        <f t="shared" ca="1" si="43"/>
        <v>0.625</v>
      </c>
      <c r="M54">
        <f t="shared" ca="1" si="44"/>
        <v>0.63636363636363635</v>
      </c>
      <c r="N54">
        <f t="shared" ca="1" si="45"/>
        <v>0.6</v>
      </c>
      <c r="O54">
        <f t="shared" ca="1" si="46"/>
        <v>0.4375</v>
      </c>
      <c r="P54">
        <f t="shared" ca="1" si="47"/>
        <v>0.3125</v>
      </c>
      <c r="Q54">
        <f t="shared" ca="1" si="48"/>
        <v>0.4375</v>
      </c>
      <c r="R54">
        <f t="shared" ca="1" si="49"/>
        <v>0.375</v>
      </c>
      <c r="S54">
        <f t="shared" ca="1" si="57"/>
        <v>0.56000000000000005</v>
      </c>
      <c r="T54">
        <f t="shared" ca="1" si="50"/>
        <v>0.41666666666666669</v>
      </c>
      <c r="U54">
        <f t="shared" ca="1" si="51"/>
        <v>0.51851851851851849</v>
      </c>
      <c r="V54">
        <f t="shared" ca="1" si="52"/>
        <v>0.46153846153846151</v>
      </c>
      <c r="W54">
        <f t="shared" ca="1" si="53"/>
        <v>0.65625</v>
      </c>
      <c r="X54">
        <f t="shared" ca="1" si="54"/>
        <v>0.5625</v>
      </c>
      <c r="Y54">
        <f t="shared" ca="1" si="55"/>
        <v>0.59375</v>
      </c>
      <c r="Z54">
        <f t="shared" ca="1" si="56"/>
        <v>0.5625</v>
      </c>
    </row>
    <row r="55" spans="1:26">
      <c r="A55" s="15" t="s">
        <v>312</v>
      </c>
      <c r="B55">
        <v>40</v>
      </c>
      <c r="C55">
        <f ca="1">Final_evaluation!$I$236</f>
        <v>0</v>
      </c>
      <c r="D55">
        <f ca="1">Final_evaluation!$K$236</f>
        <v>3</v>
      </c>
      <c r="E55">
        <f ca="1">Final_evaluation!$L$236</f>
        <v>1</v>
      </c>
      <c r="F55">
        <f ca="1">Final_evaluation!$M$236</f>
        <v>3</v>
      </c>
      <c r="G55">
        <f ca="1">Final_evaluation!$I$237</f>
        <v>2</v>
      </c>
      <c r="H55">
        <f ca="1">Final_evaluation!$K$237</f>
        <v>4</v>
      </c>
      <c r="I55">
        <f ca="1">Final_evaluation!$L$237</f>
        <v>2</v>
      </c>
      <c r="J55">
        <f ca="1">Final_evaluation!$M$237</f>
        <v>3</v>
      </c>
      <c r="K55">
        <f t="shared" ca="1" si="42"/>
        <v>1</v>
      </c>
      <c r="L55">
        <f t="shared" ca="1" si="43"/>
        <v>0.84210526315789469</v>
      </c>
      <c r="M55">
        <f t="shared" ca="1" si="44"/>
        <v>0.94736842105263153</v>
      </c>
      <c r="N55">
        <f t="shared" ca="1" si="45"/>
        <v>0.85</v>
      </c>
      <c r="O55">
        <f t="shared" ca="1" si="46"/>
        <v>0.9</v>
      </c>
      <c r="P55">
        <f t="shared" ca="1" si="47"/>
        <v>0.8</v>
      </c>
      <c r="Q55">
        <f t="shared" ca="1" si="48"/>
        <v>0.9</v>
      </c>
      <c r="R55">
        <f t="shared" ca="1" si="49"/>
        <v>0.85</v>
      </c>
      <c r="S55">
        <f t="shared" ca="1" si="57"/>
        <v>0.94736842105263164</v>
      </c>
      <c r="T55">
        <f t="shared" ca="1" si="50"/>
        <v>0.82051282051282048</v>
      </c>
      <c r="U55">
        <f t="shared" ca="1" si="51"/>
        <v>0.92307692307692313</v>
      </c>
      <c r="V55">
        <f t="shared" ca="1" si="52"/>
        <v>0.85</v>
      </c>
      <c r="W55">
        <f t="shared" ca="1" si="53"/>
        <v>0.95</v>
      </c>
      <c r="X55">
        <f t="shared" ca="1" si="54"/>
        <v>0.82499999999999996</v>
      </c>
      <c r="Y55">
        <f t="shared" ca="1" si="55"/>
        <v>0.92500000000000004</v>
      </c>
      <c r="Z55">
        <f t="shared" ca="1" si="56"/>
        <v>0.85</v>
      </c>
    </row>
    <row r="56" spans="1:26">
      <c r="A56" s="15" t="s">
        <v>313</v>
      </c>
      <c r="B56">
        <f>SUM(B49:B55)</f>
        <v>222</v>
      </c>
      <c r="C56">
        <f ca="1">SUM(C49:C55)</f>
        <v>12</v>
      </c>
      <c r="D56">
        <f ca="1">SUM(D49:D55)</f>
        <v>20</v>
      </c>
      <c r="E56">
        <f ca="1">SUM(E49:E55)</f>
        <v>16</v>
      </c>
      <c r="F56">
        <f ca="1">SUM(F49:F55)</f>
        <v>28</v>
      </c>
      <c r="G56">
        <f ca="1">SUM(G49:G55)</f>
        <v>37</v>
      </c>
      <c r="H56">
        <f ca="1">SUM(H49:H55)</f>
        <v>46</v>
      </c>
      <c r="I56">
        <f ca="1">SUM(I49:I55)</f>
        <v>43</v>
      </c>
      <c r="J56">
        <f ca="1">SUM(J49:J55)</f>
        <v>39</v>
      </c>
      <c r="K56">
        <f t="shared" ca="1" si="42"/>
        <v>0.86046511627906974</v>
      </c>
      <c r="L56">
        <f t="shared" ca="1" si="43"/>
        <v>0.76470588235294112</v>
      </c>
      <c r="M56">
        <f t="shared" ca="1" si="44"/>
        <v>0.80952380952380953</v>
      </c>
      <c r="N56">
        <f t="shared" ca="1" si="45"/>
        <v>0.72</v>
      </c>
      <c r="O56">
        <f t="shared" ca="1" si="46"/>
        <v>0.66666666666666663</v>
      </c>
      <c r="P56">
        <f t="shared" ca="1" si="47"/>
        <v>0.5855855855855856</v>
      </c>
      <c r="Q56">
        <f t="shared" ca="1" si="48"/>
        <v>0.61261261261261257</v>
      </c>
      <c r="R56">
        <f t="shared" ca="1" si="49"/>
        <v>0.64864864864864868</v>
      </c>
      <c r="S56">
        <f t="shared" ca="1" si="57"/>
        <v>0.75126903553299473</v>
      </c>
      <c r="T56">
        <f t="shared" ca="1" si="50"/>
        <v>0.66326530612244905</v>
      </c>
      <c r="U56">
        <f t="shared" ca="1" si="51"/>
        <v>0.6974358974358974</v>
      </c>
      <c r="V56">
        <f t="shared" ca="1" si="52"/>
        <v>0.68246445497630337</v>
      </c>
      <c r="W56">
        <f t="shared" ca="1" si="53"/>
        <v>0.77927927927927931</v>
      </c>
      <c r="X56">
        <f t="shared" ca="1" si="54"/>
        <v>0.70270270270270274</v>
      </c>
      <c r="Y56">
        <f t="shared" ca="1" si="55"/>
        <v>0.73423423423423428</v>
      </c>
      <c r="Z56">
        <f t="shared" ca="1" si="56"/>
        <v>0.69819819819819817</v>
      </c>
    </row>
    <row r="59" spans="1:26">
      <c r="A59" s="12" t="s">
        <v>324</v>
      </c>
      <c r="B59" s="13" t="s">
        <v>281</v>
      </c>
      <c r="C59" s="13" t="s">
        <v>283</v>
      </c>
      <c r="D59" s="13" t="s">
        <v>335</v>
      </c>
      <c r="E59" s="13" t="s">
        <v>336</v>
      </c>
      <c r="F59" s="13" t="s">
        <v>337</v>
      </c>
      <c r="G59" s="13" t="s">
        <v>285</v>
      </c>
      <c r="H59" s="13" t="s">
        <v>338</v>
      </c>
      <c r="I59" s="13" t="s">
        <v>339</v>
      </c>
      <c r="J59" s="13" t="s">
        <v>340</v>
      </c>
      <c r="K59" s="13" t="s">
        <v>291</v>
      </c>
      <c r="L59" s="13" t="s">
        <v>341</v>
      </c>
      <c r="M59" s="13" t="s">
        <v>342</v>
      </c>
      <c r="N59" s="13" t="s">
        <v>343</v>
      </c>
      <c r="O59" s="13" t="s">
        <v>293</v>
      </c>
      <c r="P59" s="13" t="s">
        <v>344</v>
      </c>
      <c r="Q59" s="13" t="s">
        <v>345</v>
      </c>
      <c r="R59" s="13" t="s">
        <v>346</v>
      </c>
      <c r="S59" s="13" t="s">
        <v>295</v>
      </c>
      <c r="T59" s="13" t="s">
        <v>316</v>
      </c>
      <c r="U59" s="13" t="s">
        <v>317</v>
      </c>
      <c r="V59" s="13" t="s">
        <v>318</v>
      </c>
      <c r="W59" s="14" t="s">
        <v>297</v>
      </c>
      <c r="X59" s="14" t="s">
        <v>319</v>
      </c>
      <c r="Y59" s="14" t="s">
        <v>320</v>
      </c>
      <c r="Z59" s="14" t="s">
        <v>321</v>
      </c>
    </row>
    <row r="60" spans="1:26">
      <c r="A60" s="15" t="s">
        <v>298</v>
      </c>
      <c r="B60">
        <v>30</v>
      </c>
      <c r="C60">
        <f ca="1">Final_evaluation!$O$224</f>
        <v>2</v>
      </c>
      <c r="D60">
        <f ca="1">Final_evaluation!$Q$224</f>
        <v>2</v>
      </c>
      <c r="E60">
        <f ca="1">Final_evaluation!$R$224</f>
        <v>3</v>
      </c>
      <c r="F60">
        <f ca="1">Final_evaluation!$S$224</f>
        <v>3</v>
      </c>
      <c r="G60">
        <f ca="1">Final_evaluation!$O$225</f>
        <v>3</v>
      </c>
      <c r="H60">
        <f ca="1">Final_evaluation!$Q$225</f>
        <v>2</v>
      </c>
      <c r="I60">
        <f ca="1">Final_evaluation!$R$225</f>
        <v>3</v>
      </c>
      <c r="J60">
        <f ca="1">Final_evaluation!$S$225</f>
        <v>2</v>
      </c>
      <c r="K60">
        <f ca="1">($B60/2-$G60)/(($B60/2-$G60)+$C60)</f>
        <v>0.8571428571428571</v>
      </c>
      <c r="L60">
        <f ca="1">($B60/2-$H60)/(($B60/2-$H60)+$D60)</f>
        <v>0.8666666666666667</v>
      </c>
      <c r="M60">
        <f ca="1">($B60/2-$I60)/(($B60/2-$I60)+$E60)</f>
        <v>0.8</v>
      </c>
      <c r="N60">
        <f ca="1">($B60/2-$J60)/(($B60/2-$J60)+$F60)</f>
        <v>0.8125</v>
      </c>
      <c r="O60">
        <f ca="1">($B60/2-$G60)/($B60/2)</f>
        <v>0.8</v>
      </c>
      <c r="P60">
        <f ca="1">($B60/2-$H60)/($B60/2)</f>
        <v>0.8666666666666667</v>
      </c>
      <c r="Q60">
        <f ca="1">($B60/2-$I60)/($B60/2)</f>
        <v>0.8</v>
      </c>
      <c r="R60">
        <f ca="1">($B60/2-$J60)/($B60/2)</f>
        <v>0.8666666666666667</v>
      </c>
      <c r="S60">
        <f ca="1">$K60*$O60*2/($K60+$O60)</f>
        <v>0.82758620689655182</v>
      </c>
      <c r="T60">
        <f ca="1">$L60*$P60*2/($L60+$P60)</f>
        <v>0.8666666666666667</v>
      </c>
      <c r="U60">
        <f ca="1">$M60*$Q60*2/($M60+$Q60)</f>
        <v>0.80000000000000016</v>
      </c>
      <c r="V60">
        <f ca="1">$N60*$R60*2/($N60+$R60)</f>
        <v>0.83870967741935487</v>
      </c>
      <c r="W60">
        <f ca="1">($B60-$C60-$G60)/$B60</f>
        <v>0.83333333333333337</v>
      </c>
      <c r="X60">
        <f ca="1">($B60-$D60-$H60)/$B60</f>
        <v>0.8666666666666667</v>
      </c>
      <c r="Y60">
        <f ca="1">($B60-$E60-$I60)/$B60</f>
        <v>0.8</v>
      </c>
      <c r="Z60">
        <f ca="1">($B60-$F60-$J60)/$B60</f>
        <v>0.83333333333333337</v>
      </c>
    </row>
    <row r="61" spans="1:26">
      <c r="A61" s="15" t="s">
        <v>300</v>
      </c>
      <c r="B61">
        <v>30</v>
      </c>
      <c r="C61">
        <f ca="1">Final_evaluation!$O$226</f>
        <v>5</v>
      </c>
      <c r="D61">
        <f ca="1">Final_evaluation!$Q$226</f>
        <v>4</v>
      </c>
      <c r="E61">
        <f ca="1">Final_evaluation!$R$226</f>
        <v>5</v>
      </c>
      <c r="F61">
        <f ca="1">Final_evaluation!$S$226</f>
        <v>4</v>
      </c>
      <c r="G61">
        <f ca="1">Final_evaluation!$O$227</f>
        <v>3</v>
      </c>
      <c r="H61">
        <f ca="1">Final_evaluation!$Q$227</f>
        <v>4</v>
      </c>
      <c r="I61">
        <f ca="1">Final_evaluation!$R$227</f>
        <v>5</v>
      </c>
      <c r="J61">
        <f ca="1">Final_evaluation!$S$227</f>
        <v>4</v>
      </c>
      <c r="K61">
        <f t="shared" ref="K61:K67" ca="1" si="58">($B61/2-$G61)/(($B61/2-$G61)+$C61)</f>
        <v>0.70588235294117652</v>
      </c>
      <c r="L61">
        <f t="shared" ref="L61:L67" ca="1" si="59">($B61/2-$H61)/(($B61/2-$H61)+$D61)</f>
        <v>0.73333333333333328</v>
      </c>
      <c r="M61">
        <f t="shared" ref="M61:M67" ca="1" si="60">($B61/2-$I61)/(($B61/2-$I61)+$E61)</f>
        <v>0.66666666666666663</v>
      </c>
      <c r="N61">
        <f t="shared" ref="N61:N67" ca="1" si="61">($B61/2-$J61)/(($B61/2-$J61)+$F61)</f>
        <v>0.73333333333333328</v>
      </c>
      <c r="O61">
        <f t="shared" ref="O61:O67" ca="1" si="62">($B61/2-$G61)/($B61/2)</f>
        <v>0.8</v>
      </c>
      <c r="P61">
        <f t="shared" ref="P61:P67" ca="1" si="63">($B61/2-$H61)/($B61/2)</f>
        <v>0.73333333333333328</v>
      </c>
      <c r="Q61">
        <f t="shared" ref="Q61:Q67" ca="1" si="64">($B61/2-$I61)/($B61/2)</f>
        <v>0.66666666666666663</v>
      </c>
      <c r="R61">
        <f t="shared" ref="R61:R67" ca="1" si="65">($B61/2-$J61)/($B61/2)</f>
        <v>0.73333333333333328</v>
      </c>
      <c r="S61">
        <f t="shared" ref="S61:S67" ca="1" si="66">$K61*$O61*2/($K61+$O61)</f>
        <v>0.75000000000000011</v>
      </c>
      <c r="T61">
        <f t="shared" ref="T61:T67" ca="1" si="67">$L61*$P61*2/($L61+$P61)</f>
        <v>0.73333333333333328</v>
      </c>
      <c r="U61">
        <f t="shared" ref="U61:U67" ca="1" si="68">$M61*$Q61*2/($M61+$Q61)</f>
        <v>0.66666666666666663</v>
      </c>
      <c r="V61">
        <f t="shared" ref="V61:V67" ca="1" si="69">$N61*$R61*2/($N61+$R61)</f>
        <v>0.73333333333333328</v>
      </c>
      <c r="W61">
        <f t="shared" ref="W61:W67" ca="1" si="70">($B61-$C61-$G61)/$B61</f>
        <v>0.73333333333333328</v>
      </c>
      <c r="X61">
        <f t="shared" ref="X61:X67" ca="1" si="71">($B61-$D61-$H61)/$B61</f>
        <v>0.73333333333333328</v>
      </c>
      <c r="Y61">
        <f t="shared" ref="Y61:Y67" ca="1" si="72">($B61-$E61-$I61)/$B61</f>
        <v>0.66666666666666663</v>
      </c>
      <c r="Z61">
        <f t="shared" ref="Z61:Z67" ca="1" si="73">($B61-$F61-$J61)/$B61</f>
        <v>0.73333333333333328</v>
      </c>
    </row>
    <row r="62" spans="1:26">
      <c r="A62" s="15" t="s">
        <v>302</v>
      </c>
      <c r="B62">
        <v>30</v>
      </c>
      <c r="C62">
        <f ca="1">Final_evaluation!$O$228</f>
        <v>3</v>
      </c>
      <c r="D62">
        <f ca="1">Final_evaluation!$Q$228</f>
        <v>1</v>
      </c>
      <c r="E62">
        <f ca="1">Final_evaluation!$R$228</f>
        <v>0</v>
      </c>
      <c r="F62">
        <f ca="1">Final_evaluation!$S$228</f>
        <v>3</v>
      </c>
      <c r="G62">
        <f ca="1">Final_evaluation!$O$229</f>
        <v>1</v>
      </c>
      <c r="H62">
        <f ca="1">Final_evaluation!$Q$229</f>
        <v>1</v>
      </c>
      <c r="I62">
        <f ca="1">Final_evaluation!$R$229</f>
        <v>1</v>
      </c>
      <c r="J62">
        <f ca="1">Final_evaluation!$S$229</f>
        <v>0</v>
      </c>
      <c r="K62">
        <f t="shared" ca="1" si="58"/>
        <v>0.82352941176470584</v>
      </c>
      <c r="L62">
        <f t="shared" ca="1" si="59"/>
        <v>0.93333333333333335</v>
      </c>
      <c r="M62">
        <f t="shared" ca="1" si="60"/>
        <v>1</v>
      </c>
      <c r="N62">
        <f t="shared" ca="1" si="61"/>
        <v>0.83333333333333337</v>
      </c>
      <c r="O62">
        <f t="shared" ca="1" si="62"/>
        <v>0.93333333333333335</v>
      </c>
      <c r="P62">
        <f t="shared" ca="1" si="63"/>
        <v>0.93333333333333335</v>
      </c>
      <c r="Q62">
        <f t="shared" ca="1" si="64"/>
        <v>0.93333333333333335</v>
      </c>
      <c r="R62">
        <f t="shared" ca="1" si="65"/>
        <v>1</v>
      </c>
      <c r="S62">
        <f t="shared" ca="1" si="66"/>
        <v>0.87499999999999989</v>
      </c>
      <c r="T62">
        <f t="shared" ca="1" si="67"/>
        <v>0.93333333333333335</v>
      </c>
      <c r="U62">
        <f t="shared" ca="1" si="68"/>
        <v>0.96551724137931039</v>
      </c>
      <c r="V62">
        <f t="shared" ca="1" si="69"/>
        <v>0.90909090909090906</v>
      </c>
      <c r="W62">
        <f t="shared" ca="1" si="70"/>
        <v>0.8666666666666667</v>
      </c>
      <c r="X62">
        <f t="shared" ca="1" si="71"/>
        <v>0.93333333333333335</v>
      </c>
      <c r="Y62">
        <f t="shared" ca="1" si="72"/>
        <v>0.96666666666666667</v>
      </c>
      <c r="Z62">
        <f t="shared" ca="1" si="73"/>
        <v>0.9</v>
      </c>
    </row>
    <row r="63" spans="1:26">
      <c r="A63" s="15" t="s">
        <v>304</v>
      </c>
      <c r="B63">
        <v>30</v>
      </c>
      <c r="C63">
        <f ca="1">Final_evaluation!$O$230</f>
        <v>2</v>
      </c>
      <c r="D63">
        <f ca="1">Final_evaluation!$Q$230</f>
        <v>2</v>
      </c>
      <c r="E63">
        <f ca="1">Final_evaluation!$R$230</f>
        <v>3</v>
      </c>
      <c r="F63">
        <f ca="1">Final_evaluation!$S$230</f>
        <v>1</v>
      </c>
      <c r="G63">
        <f ca="1">Final_evaluation!$O$231</f>
        <v>5</v>
      </c>
      <c r="H63">
        <f ca="1">Final_evaluation!$Q$231</f>
        <v>4</v>
      </c>
      <c r="I63">
        <f ca="1">Final_evaluation!$R$231</f>
        <v>7</v>
      </c>
      <c r="J63">
        <f ca="1">Final_evaluation!$S$231</f>
        <v>3</v>
      </c>
      <c r="K63">
        <f t="shared" ca="1" si="58"/>
        <v>0.83333333333333337</v>
      </c>
      <c r="L63">
        <f t="shared" ca="1" si="59"/>
        <v>0.84615384615384615</v>
      </c>
      <c r="M63">
        <f t="shared" ca="1" si="60"/>
        <v>0.72727272727272729</v>
      </c>
      <c r="N63">
        <f t="shared" ca="1" si="61"/>
        <v>0.92307692307692313</v>
      </c>
      <c r="O63">
        <f t="shared" ca="1" si="62"/>
        <v>0.66666666666666663</v>
      </c>
      <c r="P63">
        <f t="shared" ca="1" si="63"/>
        <v>0.73333333333333328</v>
      </c>
      <c r="Q63">
        <f t="shared" ca="1" si="64"/>
        <v>0.53333333333333333</v>
      </c>
      <c r="R63">
        <f t="shared" ca="1" si="65"/>
        <v>0.8</v>
      </c>
      <c r="S63">
        <f t="shared" ca="1" si="66"/>
        <v>0.74074074074074081</v>
      </c>
      <c r="T63">
        <f t="shared" ca="1" si="67"/>
        <v>0.78571428571428559</v>
      </c>
      <c r="U63">
        <f t="shared" ca="1" si="68"/>
        <v>0.61538461538461531</v>
      </c>
      <c r="V63">
        <f t="shared" ca="1" si="69"/>
        <v>0.8571428571428571</v>
      </c>
      <c r="W63">
        <f t="shared" ca="1" si="70"/>
        <v>0.76666666666666672</v>
      </c>
      <c r="X63">
        <f t="shared" ca="1" si="71"/>
        <v>0.8</v>
      </c>
      <c r="Y63">
        <f t="shared" ca="1" si="72"/>
        <v>0.66666666666666663</v>
      </c>
      <c r="Z63">
        <f t="shared" ca="1" si="73"/>
        <v>0.8666666666666667</v>
      </c>
    </row>
    <row r="64" spans="1:26">
      <c r="A64" s="15" t="s">
        <v>305</v>
      </c>
      <c r="B64">
        <v>30</v>
      </c>
      <c r="C64">
        <f ca="1">Final_evaluation!$O$232</f>
        <v>3</v>
      </c>
      <c r="D64">
        <f ca="1">Final_evaluation!$Q$232</f>
        <v>4</v>
      </c>
      <c r="E64">
        <f ca="1">Final_evaluation!$R$232</f>
        <v>5</v>
      </c>
      <c r="F64">
        <f ca="1">Final_evaluation!$S$232</f>
        <v>4</v>
      </c>
      <c r="G64">
        <f ca="1">Final_evaluation!$O$233</f>
        <v>4</v>
      </c>
      <c r="H64">
        <f ca="1">Final_evaluation!$Q$233</f>
        <v>4</v>
      </c>
      <c r="I64">
        <f ca="1">Final_evaluation!$R$233</f>
        <v>4</v>
      </c>
      <c r="J64">
        <f ca="1">Final_evaluation!$S$233</f>
        <v>4</v>
      </c>
      <c r="K64">
        <f t="shared" ca="1" si="58"/>
        <v>0.7857142857142857</v>
      </c>
      <c r="L64">
        <f t="shared" ca="1" si="59"/>
        <v>0.73333333333333328</v>
      </c>
      <c r="M64">
        <f t="shared" ca="1" si="60"/>
        <v>0.6875</v>
      </c>
      <c r="N64">
        <f t="shared" ca="1" si="61"/>
        <v>0.73333333333333328</v>
      </c>
      <c r="O64">
        <f t="shared" ca="1" si="62"/>
        <v>0.73333333333333328</v>
      </c>
      <c r="P64">
        <f t="shared" ca="1" si="63"/>
        <v>0.73333333333333328</v>
      </c>
      <c r="Q64">
        <f t="shared" ca="1" si="64"/>
        <v>0.73333333333333328</v>
      </c>
      <c r="R64">
        <f t="shared" ca="1" si="65"/>
        <v>0.73333333333333328</v>
      </c>
      <c r="S64">
        <f t="shared" ca="1" si="66"/>
        <v>0.75862068965517238</v>
      </c>
      <c r="T64">
        <f t="shared" ca="1" si="67"/>
        <v>0.73333333333333328</v>
      </c>
      <c r="U64">
        <f t="shared" ca="1" si="68"/>
        <v>0.70967741935483863</v>
      </c>
      <c r="V64">
        <f t="shared" ca="1" si="69"/>
        <v>0.73333333333333328</v>
      </c>
      <c r="W64">
        <f t="shared" ca="1" si="70"/>
        <v>0.76666666666666672</v>
      </c>
      <c r="X64">
        <f t="shared" ca="1" si="71"/>
        <v>0.73333333333333328</v>
      </c>
      <c r="Y64">
        <f t="shared" ca="1" si="72"/>
        <v>0.7</v>
      </c>
      <c r="Z64">
        <f t="shared" ca="1" si="73"/>
        <v>0.73333333333333328</v>
      </c>
    </row>
    <row r="65" spans="1:26">
      <c r="A65" s="15" t="s">
        <v>311</v>
      </c>
      <c r="B65">
        <v>32</v>
      </c>
      <c r="C65">
        <f ca="1">Final_evaluation!$O$234</f>
        <v>4</v>
      </c>
      <c r="D65">
        <f ca="1">Final_evaluation!$Q$234</f>
        <v>3</v>
      </c>
      <c r="E65">
        <f ca="1">Final_evaluation!$R$234</f>
        <v>4</v>
      </c>
      <c r="F65">
        <f ca="1">Final_evaluation!$S$234</f>
        <v>3</v>
      </c>
      <c r="G65">
        <f ca="1">Final_evaluation!$O$235</f>
        <v>6</v>
      </c>
      <c r="H65">
        <f ca="1">Final_evaluation!$Q$235</f>
        <v>7</v>
      </c>
      <c r="I65">
        <f ca="1">Final_evaluation!$R$235</f>
        <v>7</v>
      </c>
      <c r="J65">
        <f ca="1">Final_evaluation!$S$235</f>
        <v>6</v>
      </c>
      <c r="K65">
        <f t="shared" ca="1" si="58"/>
        <v>0.7142857142857143</v>
      </c>
      <c r="L65">
        <f t="shared" ca="1" si="59"/>
        <v>0.75</v>
      </c>
      <c r="M65">
        <f t="shared" ca="1" si="60"/>
        <v>0.69230769230769229</v>
      </c>
      <c r="N65">
        <f t="shared" ca="1" si="61"/>
        <v>0.76923076923076927</v>
      </c>
      <c r="O65">
        <f t="shared" ca="1" si="62"/>
        <v>0.625</v>
      </c>
      <c r="P65">
        <f t="shared" ca="1" si="63"/>
        <v>0.5625</v>
      </c>
      <c r="Q65">
        <f t="shared" ca="1" si="64"/>
        <v>0.5625</v>
      </c>
      <c r="R65">
        <f t="shared" ca="1" si="65"/>
        <v>0.625</v>
      </c>
      <c r="S65">
        <f t="shared" ca="1" si="66"/>
        <v>0.66666666666666663</v>
      </c>
      <c r="T65">
        <f t="shared" ca="1" si="67"/>
        <v>0.6428571428571429</v>
      </c>
      <c r="U65">
        <f t="shared" ca="1" si="68"/>
        <v>0.62068965517241381</v>
      </c>
      <c r="V65">
        <f t="shared" ca="1" si="69"/>
        <v>0.68965517241379315</v>
      </c>
      <c r="W65">
        <f t="shared" ca="1" si="70"/>
        <v>0.6875</v>
      </c>
      <c r="X65">
        <f t="shared" ca="1" si="71"/>
        <v>0.6875</v>
      </c>
      <c r="Y65">
        <f t="shared" ca="1" si="72"/>
        <v>0.65625</v>
      </c>
      <c r="Z65">
        <f t="shared" ca="1" si="73"/>
        <v>0.71875</v>
      </c>
    </row>
    <row r="66" spans="1:26">
      <c r="A66" s="15" t="s">
        <v>312</v>
      </c>
      <c r="B66">
        <v>40</v>
      </c>
      <c r="C66">
        <f ca="1">Final_evaluation!$O$236</f>
        <v>1</v>
      </c>
      <c r="D66">
        <f ca="1">Final_evaluation!$Q$236</f>
        <v>1</v>
      </c>
      <c r="E66">
        <f ca="1">Final_evaluation!$R$236</f>
        <v>0</v>
      </c>
      <c r="F66">
        <f ca="1">Final_evaluation!$S$236</f>
        <v>2</v>
      </c>
      <c r="G66">
        <f ca="1">Final_evaluation!$O$237</f>
        <v>1</v>
      </c>
      <c r="H66">
        <f ca="1">Final_evaluation!$Q$237</f>
        <v>2</v>
      </c>
      <c r="I66">
        <f ca="1">Final_evaluation!$R$237</f>
        <v>4</v>
      </c>
      <c r="J66">
        <f ca="1">Final_evaluation!$S$237</f>
        <v>1</v>
      </c>
      <c r="K66">
        <f t="shared" ca="1" si="58"/>
        <v>0.95</v>
      </c>
      <c r="L66">
        <f t="shared" ca="1" si="59"/>
        <v>0.94736842105263153</v>
      </c>
      <c r="M66">
        <f t="shared" ca="1" si="60"/>
        <v>1</v>
      </c>
      <c r="N66">
        <f t="shared" ca="1" si="61"/>
        <v>0.90476190476190477</v>
      </c>
      <c r="O66">
        <f t="shared" ca="1" si="62"/>
        <v>0.95</v>
      </c>
      <c r="P66">
        <f t="shared" ca="1" si="63"/>
        <v>0.9</v>
      </c>
      <c r="Q66">
        <f t="shared" ca="1" si="64"/>
        <v>0.8</v>
      </c>
      <c r="R66">
        <f t="shared" ca="1" si="65"/>
        <v>0.95</v>
      </c>
      <c r="S66">
        <f t="shared" ca="1" si="66"/>
        <v>0.95000000000000007</v>
      </c>
      <c r="T66">
        <f t="shared" ca="1" si="67"/>
        <v>0.92307692307692313</v>
      </c>
      <c r="U66">
        <f t="shared" ca="1" si="68"/>
        <v>0.88888888888888895</v>
      </c>
      <c r="V66">
        <f t="shared" ca="1" si="69"/>
        <v>0.92682926829268286</v>
      </c>
      <c r="W66">
        <f t="shared" ca="1" si="70"/>
        <v>0.95</v>
      </c>
      <c r="X66">
        <f t="shared" ca="1" si="71"/>
        <v>0.92500000000000004</v>
      </c>
      <c r="Y66">
        <f t="shared" ca="1" si="72"/>
        <v>0.9</v>
      </c>
      <c r="Z66">
        <f t="shared" ca="1" si="73"/>
        <v>0.92500000000000004</v>
      </c>
    </row>
    <row r="67" spans="1:26">
      <c r="A67" s="15" t="s">
        <v>313</v>
      </c>
      <c r="B67">
        <f>SUM(B60:B66)</f>
        <v>222</v>
      </c>
      <c r="C67">
        <f ca="1">SUM(C60:C66)</f>
        <v>20</v>
      </c>
      <c r="D67">
        <f ca="1">SUM(D60:D66)</f>
        <v>17</v>
      </c>
      <c r="E67">
        <f ca="1">SUM(E60:E66)</f>
        <v>20</v>
      </c>
      <c r="F67">
        <f ca="1">SUM(F60:F66)</f>
        <v>20</v>
      </c>
      <c r="G67">
        <f ca="1">SUM(G60:G66)</f>
        <v>23</v>
      </c>
      <c r="H67">
        <f ca="1">SUM(H60:H66)</f>
        <v>24</v>
      </c>
      <c r="I67">
        <f ca="1">SUM(I60:I66)</f>
        <v>31</v>
      </c>
      <c r="J67">
        <f ca="1">SUM(J60:J66)</f>
        <v>20</v>
      </c>
      <c r="K67">
        <f t="shared" ca="1" si="58"/>
        <v>0.81481481481481477</v>
      </c>
      <c r="L67">
        <f t="shared" ca="1" si="59"/>
        <v>0.83653846153846156</v>
      </c>
      <c r="M67">
        <f t="shared" ca="1" si="60"/>
        <v>0.8</v>
      </c>
      <c r="N67">
        <f t="shared" ca="1" si="61"/>
        <v>0.81981981981981977</v>
      </c>
      <c r="O67">
        <f t="shared" ca="1" si="62"/>
        <v>0.7927927927927928</v>
      </c>
      <c r="P67">
        <f t="shared" ca="1" si="63"/>
        <v>0.78378378378378377</v>
      </c>
      <c r="Q67">
        <f t="shared" ca="1" si="64"/>
        <v>0.72072072072072069</v>
      </c>
      <c r="R67">
        <f t="shared" ca="1" si="65"/>
        <v>0.81981981981981977</v>
      </c>
      <c r="S67">
        <f t="shared" ca="1" si="66"/>
        <v>0.80365296803652964</v>
      </c>
      <c r="T67">
        <f t="shared" ca="1" si="67"/>
        <v>0.80930232558139525</v>
      </c>
      <c r="U67">
        <f t="shared" ca="1" si="68"/>
        <v>0.75829383886255919</v>
      </c>
      <c r="V67">
        <f t="shared" ca="1" si="69"/>
        <v>0.81981981981981977</v>
      </c>
      <c r="W67">
        <f t="shared" ca="1" si="70"/>
        <v>0.80630630630630629</v>
      </c>
      <c r="X67">
        <f t="shared" ca="1" si="71"/>
        <v>0.81531531531531531</v>
      </c>
      <c r="Y67">
        <f t="shared" ca="1" si="72"/>
        <v>0.77027027027027029</v>
      </c>
      <c r="Z67">
        <f t="shared" ca="1" si="73"/>
        <v>0.81981981981981977</v>
      </c>
    </row>
    <row r="69" spans="1:26">
      <c r="A69" t="s">
        <v>322</v>
      </c>
    </row>
    <row r="71" spans="1:26">
      <c r="A71" s="12" t="s">
        <v>280</v>
      </c>
      <c r="B71" s="13" t="s">
        <v>281</v>
      </c>
      <c r="C71" s="13" t="s">
        <v>283</v>
      </c>
      <c r="D71" s="13" t="s">
        <v>347</v>
      </c>
      <c r="E71" s="13" t="s">
        <v>285</v>
      </c>
      <c r="F71" s="13" t="s">
        <v>348</v>
      </c>
      <c r="G71" s="13" t="s">
        <v>291</v>
      </c>
      <c r="H71" s="13" t="s">
        <v>349</v>
      </c>
      <c r="I71" s="13" t="s">
        <v>293</v>
      </c>
      <c r="J71" s="13" t="s">
        <v>350</v>
      </c>
      <c r="K71" s="13" t="s">
        <v>295</v>
      </c>
      <c r="L71" s="13" t="s">
        <v>325</v>
      </c>
      <c r="M71" s="14" t="s">
        <v>297</v>
      </c>
      <c r="N71" s="14" t="s">
        <v>326</v>
      </c>
    </row>
    <row r="72" spans="1:26">
      <c r="A72" s="15" t="s">
        <v>298</v>
      </c>
      <c r="B72">
        <v>30</v>
      </c>
      <c r="C72">
        <f ca="1">Final_evaluation!$C$224</f>
        <v>11</v>
      </c>
      <c r="D72">
        <f ca="1">Final_evaluation!$D$224</f>
        <v>9</v>
      </c>
      <c r="E72">
        <f ca="1">Final_evaluation!$C$225</f>
        <v>1</v>
      </c>
      <c r="F72">
        <f ca="1">Final_evaluation!$D$225</f>
        <v>1</v>
      </c>
      <c r="G72">
        <f ca="1">($B72/2-$E72)/(($B72/2-$E72)+$C72)</f>
        <v>0.56000000000000005</v>
      </c>
      <c r="H72">
        <f ca="1">($B72/2-$F72)/(($B72/2-$F72)+$D72)</f>
        <v>0.60869565217391308</v>
      </c>
      <c r="I72">
        <f ca="1">($B72/2-$E72)/($B72/2)</f>
        <v>0.93333333333333335</v>
      </c>
      <c r="J72">
        <f ca="1">($B72/2-$F72)/($B72/2)</f>
        <v>0.93333333333333335</v>
      </c>
      <c r="K72">
        <f ca="1">$G72*$I72*2/($G72+$I72)</f>
        <v>0.70000000000000007</v>
      </c>
      <c r="L72">
        <f ca="1">$H72*$J72*2/($H72+$J72)</f>
        <v>0.73684210526315785</v>
      </c>
      <c r="M72">
        <f ca="1">($B72-$C72-$E72)/$B72</f>
        <v>0.6</v>
      </c>
      <c r="N72">
        <f ca="1">($B72-$D72-$F72)/$B72</f>
        <v>0.66666666666666663</v>
      </c>
    </row>
    <row r="73" spans="1:26">
      <c r="A73" s="15" t="s">
        <v>300</v>
      </c>
      <c r="B73">
        <v>30</v>
      </c>
      <c r="C73">
        <f ca="1">Final_evaluation!$C$226</f>
        <v>10</v>
      </c>
      <c r="D73">
        <f ca="1">Final_evaluation!$D$226</f>
        <v>7</v>
      </c>
      <c r="E73">
        <f ca="1">Final_evaluation!$C$227</f>
        <v>2</v>
      </c>
      <c r="F73">
        <f ca="1">Final_evaluation!$D$227</f>
        <v>2</v>
      </c>
      <c r="G73">
        <f t="shared" ref="G73:G79" ca="1" si="74">($B73/2-$E73)/(($B73/2-$E73)+$C73)</f>
        <v>0.56521739130434778</v>
      </c>
      <c r="H73">
        <f t="shared" ref="H73:H79" ca="1" si="75">($B73/2-$F73)/(($B73/2-$F73)+$D73)</f>
        <v>0.65</v>
      </c>
      <c r="I73">
        <f t="shared" ref="I73:I79" ca="1" si="76">($B73/2-$E73)/($B73/2)</f>
        <v>0.8666666666666667</v>
      </c>
      <c r="J73">
        <f t="shared" ref="J73:J79" ca="1" si="77">($B73/2-$F73)/($B73/2)</f>
        <v>0.8666666666666667</v>
      </c>
      <c r="K73">
        <f t="shared" ref="K73:K79" ca="1" si="78">$G73*$I73*2/($G73+$I73)</f>
        <v>0.68421052631578949</v>
      </c>
      <c r="L73">
        <f t="shared" ref="L73:L79" ca="1" si="79">$H73*$J73*2/($H73+$J73)</f>
        <v>0.74285714285714288</v>
      </c>
      <c r="M73">
        <f t="shared" ref="M73:M79" ca="1" si="80">($B73-$C73-$E73)/$B73</f>
        <v>0.6</v>
      </c>
      <c r="N73">
        <f t="shared" ref="N73:N79" ca="1" si="81">($B73-$D73-$F73)/$B73</f>
        <v>0.7</v>
      </c>
    </row>
    <row r="74" spans="1:26">
      <c r="A74" s="15" t="s">
        <v>302</v>
      </c>
      <c r="B74">
        <v>30</v>
      </c>
      <c r="C74">
        <f ca="1">Final_evaluation!$C$228</f>
        <v>4</v>
      </c>
      <c r="D74">
        <f ca="1">Final_evaluation!$D$228</f>
        <v>3</v>
      </c>
      <c r="E74">
        <f ca="1">Final_evaluation!$C$229</f>
        <v>0</v>
      </c>
      <c r="F74">
        <f ca="1">Final_evaluation!$D$229</f>
        <v>0</v>
      </c>
      <c r="G74">
        <f t="shared" ca="1" si="74"/>
        <v>0.78947368421052633</v>
      </c>
      <c r="H74">
        <f t="shared" ca="1" si="75"/>
        <v>0.83333333333333337</v>
      </c>
      <c r="I74">
        <f t="shared" ca="1" si="76"/>
        <v>1</v>
      </c>
      <c r="J74">
        <f t="shared" ca="1" si="77"/>
        <v>1</v>
      </c>
      <c r="K74">
        <f t="shared" ca="1" si="78"/>
        <v>0.88235294117647056</v>
      </c>
      <c r="L74">
        <f t="shared" ca="1" si="79"/>
        <v>0.90909090909090906</v>
      </c>
      <c r="M74">
        <f t="shared" ca="1" si="80"/>
        <v>0.8666666666666667</v>
      </c>
      <c r="N74">
        <f t="shared" ca="1" si="81"/>
        <v>0.9</v>
      </c>
    </row>
    <row r="75" spans="1:26">
      <c r="A75" s="15" t="s">
        <v>304</v>
      </c>
      <c r="B75">
        <v>30</v>
      </c>
      <c r="C75">
        <f ca="1">Final_evaluation!$C$230</f>
        <v>3</v>
      </c>
      <c r="D75">
        <f ca="1">Final_evaluation!$D$230</f>
        <v>4</v>
      </c>
      <c r="E75">
        <f ca="1">Final_evaluation!$C$231</f>
        <v>1</v>
      </c>
      <c r="F75">
        <f ca="1">Final_evaluation!$D$231</f>
        <v>3</v>
      </c>
      <c r="G75">
        <f t="shared" ca="1" si="74"/>
        <v>0.82352941176470584</v>
      </c>
      <c r="H75">
        <f t="shared" ca="1" si="75"/>
        <v>0.75</v>
      </c>
      <c r="I75">
        <f t="shared" ca="1" si="76"/>
        <v>0.93333333333333335</v>
      </c>
      <c r="J75">
        <f t="shared" ca="1" si="77"/>
        <v>0.8</v>
      </c>
      <c r="K75">
        <f t="shared" ca="1" si="78"/>
        <v>0.87499999999999989</v>
      </c>
      <c r="L75">
        <f t="shared" ca="1" si="79"/>
        <v>0.77419354838709686</v>
      </c>
      <c r="M75">
        <f t="shared" ca="1" si="80"/>
        <v>0.8666666666666667</v>
      </c>
      <c r="N75">
        <f t="shared" ca="1" si="81"/>
        <v>0.76666666666666672</v>
      </c>
    </row>
    <row r="76" spans="1:26">
      <c r="A76" s="15" t="s">
        <v>305</v>
      </c>
      <c r="B76">
        <v>30</v>
      </c>
      <c r="C76">
        <f ca="1">Final_evaluation!$C$232</f>
        <v>10</v>
      </c>
      <c r="D76">
        <f ca="1">Final_evaluation!$D$232</f>
        <v>8</v>
      </c>
      <c r="E76">
        <f ca="1">Final_evaluation!$C$233</f>
        <v>3</v>
      </c>
      <c r="F76">
        <f ca="1">Final_evaluation!$D$233</f>
        <v>3</v>
      </c>
      <c r="G76">
        <f t="shared" ca="1" si="74"/>
        <v>0.54545454545454541</v>
      </c>
      <c r="H76">
        <f t="shared" ca="1" si="75"/>
        <v>0.6</v>
      </c>
      <c r="I76">
        <f t="shared" ca="1" si="76"/>
        <v>0.8</v>
      </c>
      <c r="J76">
        <f t="shared" ca="1" si="77"/>
        <v>0.8</v>
      </c>
      <c r="K76">
        <f t="shared" ca="1" si="78"/>
        <v>0.64864864864864857</v>
      </c>
      <c r="L76">
        <f t="shared" ca="1" si="79"/>
        <v>0.68571428571428572</v>
      </c>
      <c r="M76">
        <f t="shared" ca="1" si="80"/>
        <v>0.56666666666666665</v>
      </c>
      <c r="N76">
        <f t="shared" ca="1" si="81"/>
        <v>0.6333333333333333</v>
      </c>
    </row>
    <row r="77" spans="1:26">
      <c r="A77" s="15" t="s">
        <v>311</v>
      </c>
      <c r="B77">
        <v>32</v>
      </c>
      <c r="C77">
        <f ca="1">Final_evaluation!$C$234</f>
        <v>6</v>
      </c>
      <c r="D77">
        <f ca="1">Final_evaluation!$D$234</f>
        <v>10</v>
      </c>
      <c r="E77">
        <f ca="1">Final_evaluation!$C$235</f>
        <v>5</v>
      </c>
      <c r="F77">
        <f ca="1">Final_evaluation!$D$235</f>
        <v>5</v>
      </c>
      <c r="G77">
        <f t="shared" ca="1" si="74"/>
        <v>0.6470588235294118</v>
      </c>
      <c r="H77">
        <f t="shared" ca="1" si="75"/>
        <v>0.52380952380952384</v>
      </c>
      <c r="I77">
        <f t="shared" ca="1" si="76"/>
        <v>0.6875</v>
      </c>
      <c r="J77">
        <f t="shared" ca="1" si="77"/>
        <v>0.6875</v>
      </c>
      <c r="K77">
        <f t="shared" ca="1" si="78"/>
        <v>0.66666666666666674</v>
      </c>
      <c r="L77">
        <f t="shared" ca="1" si="79"/>
        <v>0.59459459459459463</v>
      </c>
      <c r="M77">
        <f t="shared" ca="1" si="80"/>
        <v>0.65625</v>
      </c>
      <c r="N77">
        <f t="shared" ca="1" si="81"/>
        <v>0.53125</v>
      </c>
    </row>
    <row r="78" spans="1:26">
      <c r="A78" s="15" t="s">
        <v>312</v>
      </c>
      <c r="B78">
        <v>40</v>
      </c>
      <c r="C78">
        <f ca="1">Final_evaluation!$C$236</f>
        <v>3</v>
      </c>
      <c r="D78">
        <f ca="1">Final_evaluation!$D$236</f>
        <v>4</v>
      </c>
      <c r="E78">
        <f ca="1">Final_evaluation!$C$237</f>
        <v>0</v>
      </c>
      <c r="F78">
        <f ca="1">Final_evaluation!$D$237</f>
        <v>2</v>
      </c>
      <c r="G78">
        <f t="shared" ca="1" si="74"/>
        <v>0.86956521739130432</v>
      </c>
      <c r="H78">
        <f t="shared" ca="1" si="75"/>
        <v>0.81818181818181823</v>
      </c>
      <c r="I78">
        <f t="shared" ca="1" si="76"/>
        <v>1</v>
      </c>
      <c r="J78">
        <f t="shared" ca="1" si="77"/>
        <v>0.9</v>
      </c>
      <c r="K78">
        <f t="shared" ca="1" si="78"/>
        <v>0.93023255813953487</v>
      </c>
      <c r="L78">
        <f t="shared" ca="1" si="79"/>
        <v>0.85714285714285721</v>
      </c>
      <c r="M78">
        <f t="shared" ca="1" si="80"/>
        <v>0.92500000000000004</v>
      </c>
      <c r="N78">
        <f t="shared" ca="1" si="81"/>
        <v>0.85</v>
      </c>
    </row>
    <row r="79" spans="1:26">
      <c r="A79" s="15" t="s">
        <v>313</v>
      </c>
      <c r="B79">
        <f>SUM(B72:B78)</f>
        <v>222</v>
      </c>
      <c r="C79">
        <f t="shared" ref="C79" ca="1" si="82">SUM(C72:C78)</f>
        <v>47</v>
      </c>
      <c r="D79">
        <f t="shared" ref="D79:F79" ca="1" si="83">SUM(D72:D78)</f>
        <v>45</v>
      </c>
      <c r="E79">
        <f t="shared" ref="E79" ca="1" si="84">SUM(E72:E78)</f>
        <v>12</v>
      </c>
      <c r="F79">
        <f t="shared" ca="1" si="83"/>
        <v>16</v>
      </c>
      <c r="G79">
        <f t="shared" ca="1" si="74"/>
        <v>0.67808219178082196</v>
      </c>
      <c r="H79">
        <f t="shared" ca="1" si="75"/>
        <v>0.6785714285714286</v>
      </c>
      <c r="I79">
        <f t="shared" ca="1" si="76"/>
        <v>0.89189189189189189</v>
      </c>
      <c r="J79">
        <f t="shared" ca="1" si="77"/>
        <v>0.85585585585585588</v>
      </c>
      <c r="K79">
        <f t="shared" ca="1" si="78"/>
        <v>0.77042801556420237</v>
      </c>
      <c r="L79">
        <f t="shared" ca="1" si="79"/>
        <v>0.75697211155378497</v>
      </c>
      <c r="M79">
        <f t="shared" ca="1" si="80"/>
        <v>0.73423423423423428</v>
      </c>
      <c r="N79">
        <f t="shared" ca="1" si="81"/>
        <v>0.72522522522522526</v>
      </c>
    </row>
    <row r="82" spans="1:14">
      <c r="A82" s="12" t="s">
        <v>315</v>
      </c>
      <c r="B82" s="13" t="s">
        <v>281</v>
      </c>
      <c r="C82" s="13" t="s">
        <v>283</v>
      </c>
      <c r="D82" s="13" t="s">
        <v>347</v>
      </c>
      <c r="E82" s="13" t="s">
        <v>285</v>
      </c>
      <c r="F82" s="13" t="s">
        <v>348</v>
      </c>
      <c r="G82" s="13" t="s">
        <v>291</v>
      </c>
      <c r="H82" s="13" t="s">
        <v>349</v>
      </c>
      <c r="I82" s="13" t="s">
        <v>293</v>
      </c>
      <c r="J82" s="13" t="s">
        <v>350</v>
      </c>
      <c r="K82" s="13" t="s">
        <v>295</v>
      </c>
      <c r="L82" s="13" t="s">
        <v>325</v>
      </c>
      <c r="M82" s="14" t="s">
        <v>297</v>
      </c>
      <c r="N82" s="14" t="s">
        <v>326</v>
      </c>
    </row>
    <row r="83" spans="1:14">
      <c r="A83" s="15" t="s">
        <v>298</v>
      </c>
      <c r="B83">
        <v>30</v>
      </c>
      <c r="C83">
        <f ca="1">Final_evaluation!$I$224</f>
        <v>0</v>
      </c>
      <c r="D83">
        <f ca="1">Final_evaluation!$J$224</f>
        <v>0</v>
      </c>
      <c r="E83">
        <f ca="1">Final_evaluation!$I$225</f>
        <v>2</v>
      </c>
      <c r="F83">
        <f ca="1">Final_evaluation!$J$225</f>
        <v>3</v>
      </c>
      <c r="G83">
        <f ca="1">($B83/2-$E83)/(($B83/2-$E83)+$C83)</f>
        <v>1</v>
      </c>
      <c r="H83">
        <f ca="1">($B83/2-$F83)/(($B83/2-$F83)+$D83)</f>
        <v>1</v>
      </c>
      <c r="I83">
        <f ca="1">($B83/2-$E83)/($B83/2)</f>
        <v>0.8666666666666667</v>
      </c>
      <c r="J83">
        <f ca="1">($B83/2-$F83)/($B83/2)</f>
        <v>0.8</v>
      </c>
      <c r="K83">
        <f ca="1">$G83*$I83*2/($G83+$I83)</f>
        <v>0.9285714285714286</v>
      </c>
      <c r="L83">
        <f ca="1">$H83*$J83*2/($H83+$J83)</f>
        <v>0.88888888888888895</v>
      </c>
      <c r="M83">
        <f ca="1">($B83-$C83-$E83)/$B83</f>
        <v>0.93333333333333335</v>
      </c>
      <c r="N83">
        <f ca="1">($B83-$D83-$F83)/$B83</f>
        <v>0.9</v>
      </c>
    </row>
    <row r="84" spans="1:14">
      <c r="A84" s="15" t="s">
        <v>300</v>
      </c>
      <c r="B84">
        <v>30</v>
      </c>
      <c r="C84">
        <f ca="1">Final_evaluation!$I$226</f>
        <v>5</v>
      </c>
      <c r="D84">
        <f ca="1">Final_evaluation!$J$226</f>
        <v>5</v>
      </c>
      <c r="E84">
        <f ca="1">Final_evaluation!$I$227</f>
        <v>7</v>
      </c>
      <c r="F84">
        <f ca="1">Final_evaluation!$J$227</f>
        <v>10</v>
      </c>
      <c r="G84">
        <f t="shared" ref="G84:G90" ca="1" si="85">($B84/2-$E84)/(($B84/2-$E84)+$C84)</f>
        <v>0.61538461538461542</v>
      </c>
      <c r="H84">
        <f t="shared" ref="H84:H90" ca="1" si="86">($B84/2-$F84)/(($B84/2-$F84)+$D84)</f>
        <v>0.5</v>
      </c>
      <c r="I84">
        <f t="shared" ref="I84:I90" ca="1" si="87">($B84/2-$E84)/($B84/2)</f>
        <v>0.53333333333333333</v>
      </c>
      <c r="J84">
        <f t="shared" ref="J84:J90" ca="1" si="88">($B84/2-$F84)/($B84/2)</f>
        <v>0.33333333333333331</v>
      </c>
      <c r="K84">
        <f t="shared" ref="K84:K90" ca="1" si="89">$G84*$I84*2/($G84+$I84)</f>
        <v>0.57142857142857151</v>
      </c>
      <c r="L84">
        <f t="shared" ref="L84:L90" ca="1" si="90">$H84*$J84*2/($H84+$J84)</f>
        <v>0.4</v>
      </c>
      <c r="M84">
        <f t="shared" ref="M84:M90" ca="1" si="91">($B84-$C84-$E84)/$B84</f>
        <v>0.6</v>
      </c>
      <c r="N84">
        <f t="shared" ref="N84:N90" ca="1" si="92">($B84-$D84-$F84)/$B84</f>
        <v>0.5</v>
      </c>
    </row>
    <row r="85" spans="1:14">
      <c r="A85" s="15" t="s">
        <v>302</v>
      </c>
      <c r="B85">
        <v>30</v>
      </c>
      <c r="C85">
        <f ca="1">Final_evaluation!$I$228</f>
        <v>1</v>
      </c>
      <c r="D85">
        <f ca="1">Final_evaluation!$J$228</f>
        <v>1</v>
      </c>
      <c r="E85">
        <f ca="1">Final_evaluation!$I$229</f>
        <v>4</v>
      </c>
      <c r="F85">
        <f ca="1">Final_evaluation!$J$229</f>
        <v>4</v>
      </c>
      <c r="G85">
        <f t="shared" ca="1" si="85"/>
        <v>0.91666666666666663</v>
      </c>
      <c r="H85">
        <f t="shared" ca="1" si="86"/>
        <v>0.91666666666666663</v>
      </c>
      <c r="I85">
        <f t="shared" ca="1" si="87"/>
        <v>0.73333333333333328</v>
      </c>
      <c r="J85">
        <f t="shared" ca="1" si="88"/>
        <v>0.73333333333333328</v>
      </c>
      <c r="K85">
        <f t="shared" ca="1" si="89"/>
        <v>0.81481481481481477</v>
      </c>
      <c r="L85">
        <f t="shared" ca="1" si="90"/>
        <v>0.81481481481481477</v>
      </c>
      <c r="M85">
        <f t="shared" ca="1" si="91"/>
        <v>0.83333333333333337</v>
      </c>
      <c r="N85">
        <f t="shared" ca="1" si="92"/>
        <v>0.83333333333333337</v>
      </c>
    </row>
    <row r="86" spans="1:14">
      <c r="A86" s="15" t="s">
        <v>304</v>
      </c>
      <c r="B86">
        <v>30</v>
      </c>
      <c r="C86">
        <f ca="1">Final_evaluation!$I$230</f>
        <v>2</v>
      </c>
      <c r="D86">
        <f ca="1">Final_evaluation!$J$230</f>
        <v>2</v>
      </c>
      <c r="E86">
        <f ca="1">Final_evaluation!$I$231</f>
        <v>5</v>
      </c>
      <c r="F86">
        <f ca="1">Final_evaluation!$J$231</f>
        <v>4</v>
      </c>
      <c r="G86">
        <f t="shared" ca="1" si="85"/>
        <v>0.83333333333333337</v>
      </c>
      <c r="H86">
        <f t="shared" ca="1" si="86"/>
        <v>0.84615384615384615</v>
      </c>
      <c r="I86">
        <f t="shared" ca="1" si="87"/>
        <v>0.66666666666666663</v>
      </c>
      <c r="J86">
        <f t="shared" ca="1" si="88"/>
        <v>0.73333333333333328</v>
      </c>
      <c r="K86">
        <f t="shared" ca="1" si="89"/>
        <v>0.74074074074074081</v>
      </c>
      <c r="L86">
        <f t="shared" ca="1" si="90"/>
        <v>0.78571428571428559</v>
      </c>
      <c r="M86">
        <f t="shared" ca="1" si="91"/>
        <v>0.76666666666666672</v>
      </c>
      <c r="N86">
        <f t="shared" ca="1" si="92"/>
        <v>0.8</v>
      </c>
    </row>
    <row r="87" spans="1:14">
      <c r="A87" s="15" t="s">
        <v>305</v>
      </c>
      <c r="B87">
        <v>30</v>
      </c>
      <c r="C87">
        <f ca="1">Final_evaluation!$I$232</f>
        <v>2</v>
      </c>
      <c r="D87">
        <f ca="1">Final_evaluation!$J$232</f>
        <v>2</v>
      </c>
      <c r="E87">
        <f ca="1">Final_evaluation!$I$233</f>
        <v>8</v>
      </c>
      <c r="F87">
        <f ca="1">Final_evaluation!$J$233</f>
        <v>9</v>
      </c>
      <c r="G87">
        <f t="shared" ca="1" si="85"/>
        <v>0.77777777777777779</v>
      </c>
      <c r="H87">
        <f t="shared" ca="1" si="86"/>
        <v>0.75</v>
      </c>
      <c r="I87">
        <f t="shared" ca="1" si="87"/>
        <v>0.46666666666666667</v>
      </c>
      <c r="J87">
        <f t="shared" ca="1" si="88"/>
        <v>0.4</v>
      </c>
      <c r="K87">
        <f t="shared" ca="1" si="89"/>
        <v>0.58333333333333337</v>
      </c>
      <c r="L87">
        <f t="shared" ca="1" si="90"/>
        <v>0.52173913043478271</v>
      </c>
      <c r="M87">
        <f t="shared" ca="1" si="91"/>
        <v>0.66666666666666663</v>
      </c>
      <c r="N87">
        <f t="shared" ca="1" si="92"/>
        <v>0.6333333333333333</v>
      </c>
    </row>
    <row r="88" spans="1:14">
      <c r="A88" s="15" t="s">
        <v>311</v>
      </c>
      <c r="B88">
        <v>32</v>
      </c>
      <c r="C88">
        <f ca="1">Final_evaluation!$I$234</f>
        <v>2</v>
      </c>
      <c r="D88">
        <f ca="1">Final_evaluation!$J$234</f>
        <v>2</v>
      </c>
      <c r="E88">
        <f ca="1">Final_evaluation!$I$235</f>
        <v>9</v>
      </c>
      <c r="F88">
        <f ca="1">Final_evaluation!$J$235</f>
        <v>9</v>
      </c>
      <c r="G88">
        <f t="shared" ca="1" si="85"/>
        <v>0.77777777777777779</v>
      </c>
      <c r="H88">
        <f t="shared" ca="1" si="86"/>
        <v>0.77777777777777779</v>
      </c>
      <c r="I88">
        <f t="shared" ca="1" si="87"/>
        <v>0.4375</v>
      </c>
      <c r="J88">
        <f t="shared" ca="1" si="88"/>
        <v>0.4375</v>
      </c>
      <c r="K88">
        <f t="shared" ca="1" si="89"/>
        <v>0.56000000000000005</v>
      </c>
      <c r="L88">
        <f t="shared" ca="1" si="90"/>
        <v>0.56000000000000005</v>
      </c>
      <c r="M88">
        <f t="shared" ca="1" si="91"/>
        <v>0.65625</v>
      </c>
      <c r="N88">
        <f t="shared" ca="1" si="92"/>
        <v>0.65625</v>
      </c>
    </row>
    <row r="89" spans="1:14">
      <c r="A89" s="15" t="s">
        <v>312</v>
      </c>
      <c r="B89">
        <v>40</v>
      </c>
      <c r="C89">
        <f ca="1">Final_evaluation!$I$236</f>
        <v>0</v>
      </c>
      <c r="D89">
        <f ca="1">Final_evaluation!$J$236</f>
        <v>2</v>
      </c>
      <c r="E89">
        <f ca="1">Final_evaluation!$I$237</f>
        <v>2</v>
      </c>
      <c r="F89">
        <f ca="1">Final_evaluation!$J$237</f>
        <v>3</v>
      </c>
      <c r="G89">
        <f t="shared" ca="1" si="85"/>
        <v>1</v>
      </c>
      <c r="H89">
        <f t="shared" ca="1" si="86"/>
        <v>0.89473684210526316</v>
      </c>
      <c r="I89">
        <f t="shared" ca="1" si="87"/>
        <v>0.9</v>
      </c>
      <c r="J89">
        <f t="shared" ca="1" si="88"/>
        <v>0.85</v>
      </c>
      <c r="K89">
        <f t="shared" ca="1" si="89"/>
        <v>0.94736842105263164</v>
      </c>
      <c r="L89">
        <f t="shared" ca="1" si="90"/>
        <v>0.87179487179487181</v>
      </c>
      <c r="M89">
        <f t="shared" ca="1" si="91"/>
        <v>0.95</v>
      </c>
      <c r="N89">
        <f t="shared" ca="1" si="92"/>
        <v>0.875</v>
      </c>
    </row>
    <row r="90" spans="1:14">
      <c r="A90" s="15" t="s">
        <v>313</v>
      </c>
      <c r="B90">
        <f>SUM(B83:B89)</f>
        <v>222</v>
      </c>
      <c r="C90">
        <f t="shared" ref="C90" ca="1" si="93">SUM(C83:C89)</f>
        <v>12</v>
      </c>
      <c r="D90">
        <f t="shared" ref="D90:F90" ca="1" si="94">SUM(D83:D89)</f>
        <v>14</v>
      </c>
      <c r="E90">
        <f t="shared" ref="E90" ca="1" si="95">SUM(E83:E89)</f>
        <v>37</v>
      </c>
      <c r="F90">
        <f t="shared" ca="1" si="94"/>
        <v>42</v>
      </c>
      <c r="G90">
        <f t="shared" ca="1" si="85"/>
        <v>0.86046511627906974</v>
      </c>
      <c r="H90">
        <f t="shared" ca="1" si="86"/>
        <v>0.83132530120481929</v>
      </c>
      <c r="I90">
        <f t="shared" ca="1" si="87"/>
        <v>0.66666666666666663</v>
      </c>
      <c r="J90">
        <f t="shared" ca="1" si="88"/>
        <v>0.6216216216216216</v>
      </c>
      <c r="K90">
        <f t="shared" ca="1" si="89"/>
        <v>0.75126903553299473</v>
      </c>
      <c r="L90">
        <f t="shared" ca="1" si="90"/>
        <v>0.71134020618556693</v>
      </c>
      <c r="M90">
        <f t="shared" ca="1" si="91"/>
        <v>0.77927927927927931</v>
      </c>
      <c r="N90">
        <f t="shared" ca="1" si="92"/>
        <v>0.74774774774774777</v>
      </c>
    </row>
    <row r="93" spans="1:14">
      <c r="A93" s="12" t="s">
        <v>324</v>
      </c>
      <c r="B93" s="13" t="s">
        <v>281</v>
      </c>
      <c r="C93" s="13" t="s">
        <v>283</v>
      </c>
      <c r="D93" s="13" t="s">
        <v>347</v>
      </c>
      <c r="E93" s="13" t="s">
        <v>285</v>
      </c>
      <c r="F93" s="13" t="s">
        <v>348</v>
      </c>
      <c r="G93" s="13" t="s">
        <v>291</v>
      </c>
      <c r="H93" s="13" t="s">
        <v>349</v>
      </c>
      <c r="I93" s="13" t="s">
        <v>293</v>
      </c>
      <c r="J93" s="13" t="s">
        <v>350</v>
      </c>
      <c r="K93" s="13" t="s">
        <v>295</v>
      </c>
      <c r="L93" s="13" t="s">
        <v>325</v>
      </c>
      <c r="M93" s="14" t="s">
        <v>297</v>
      </c>
      <c r="N93" s="14" t="s">
        <v>326</v>
      </c>
    </row>
    <row r="94" spans="1:14">
      <c r="A94" s="15" t="s">
        <v>298</v>
      </c>
      <c r="B94">
        <v>30</v>
      </c>
      <c r="C94">
        <f ca="1">Final_evaluation!$O$224</f>
        <v>2</v>
      </c>
      <c r="D94">
        <f ca="1">Final_evaluation!$P$224</f>
        <v>3</v>
      </c>
      <c r="E94">
        <f ca="1">Final_evaluation!$O$225</f>
        <v>3</v>
      </c>
      <c r="F94">
        <f ca="1">Final_evaluation!$P$225</f>
        <v>2</v>
      </c>
      <c r="G94">
        <f ca="1">($B94/2-$E94)/(($B94/2-$E94)+$C94)</f>
        <v>0.8571428571428571</v>
      </c>
      <c r="H94">
        <f ca="1">($B94/2-$F94)/(($B94/2-$F94)+$D94)</f>
        <v>0.8125</v>
      </c>
      <c r="I94">
        <f ca="1">($B94/2-$E94)/($B94/2)</f>
        <v>0.8</v>
      </c>
      <c r="J94">
        <f ca="1">($B94/2-$F94)/($B94/2)</f>
        <v>0.8666666666666667</v>
      </c>
      <c r="K94">
        <f ca="1">$G94*$I94*2/($G94+$I94)</f>
        <v>0.82758620689655182</v>
      </c>
      <c r="L94">
        <f ca="1">$H94*$J94*2/($H94+$J94)</f>
        <v>0.83870967741935487</v>
      </c>
      <c r="M94">
        <f ca="1">($B94-$C94-$E94)/$B94</f>
        <v>0.83333333333333337</v>
      </c>
      <c r="N94">
        <f ca="1">($B94-$D94-$F94)/$B94</f>
        <v>0.83333333333333337</v>
      </c>
    </row>
    <row r="95" spans="1:14">
      <c r="A95" s="15" t="s">
        <v>300</v>
      </c>
      <c r="B95">
        <v>30</v>
      </c>
      <c r="C95">
        <f ca="1">Final_evaluation!$O$226</f>
        <v>5</v>
      </c>
      <c r="D95">
        <f ca="1">Final_evaluation!$P$226</f>
        <v>4</v>
      </c>
      <c r="E95">
        <f ca="1">Final_evaluation!$O$227</f>
        <v>3</v>
      </c>
      <c r="F95">
        <f ca="1">Final_evaluation!$P$227</f>
        <v>3</v>
      </c>
      <c r="G95">
        <f t="shared" ref="G95:G101" ca="1" si="96">($B95/2-$E95)/(($B95/2-$E95)+$C95)</f>
        <v>0.70588235294117652</v>
      </c>
      <c r="H95">
        <f t="shared" ref="H95:H101" ca="1" si="97">($B95/2-$F95)/(($B95/2-$F95)+$D95)</f>
        <v>0.75</v>
      </c>
      <c r="I95">
        <f t="shared" ref="I95:I101" ca="1" si="98">($B95/2-$E95)/($B95/2)</f>
        <v>0.8</v>
      </c>
      <c r="J95">
        <f t="shared" ref="J95:J101" ca="1" si="99">($B95/2-$F95)/($B95/2)</f>
        <v>0.8</v>
      </c>
      <c r="K95">
        <f t="shared" ref="K95:K101" ca="1" si="100">$G95*$I95*2/($G95+$I95)</f>
        <v>0.75000000000000011</v>
      </c>
      <c r="L95">
        <f t="shared" ref="L95:L101" ca="1" si="101">$H95*$J95*2/($H95+$J95)</f>
        <v>0.77419354838709686</v>
      </c>
      <c r="M95">
        <f t="shared" ref="M95:M101" ca="1" si="102">($B95-$C95-$E95)/$B95</f>
        <v>0.73333333333333328</v>
      </c>
      <c r="N95">
        <f t="shared" ref="N95:N101" ca="1" si="103">($B95-$D95-$F95)/$B95</f>
        <v>0.76666666666666672</v>
      </c>
    </row>
    <row r="96" spans="1:14">
      <c r="A96" s="15" t="s">
        <v>302</v>
      </c>
      <c r="B96">
        <v>30</v>
      </c>
      <c r="C96">
        <f ca="1">Final_evaluation!$O$228</f>
        <v>3</v>
      </c>
      <c r="D96">
        <f ca="1">Final_evaluation!$P$228</f>
        <v>1</v>
      </c>
      <c r="E96">
        <f ca="1">Final_evaluation!$O$229</f>
        <v>1</v>
      </c>
      <c r="F96">
        <f ca="1">Final_evaluation!$P$229</f>
        <v>1</v>
      </c>
      <c r="G96">
        <f t="shared" ca="1" si="96"/>
        <v>0.82352941176470584</v>
      </c>
      <c r="H96">
        <f t="shared" ca="1" si="97"/>
        <v>0.93333333333333335</v>
      </c>
      <c r="I96">
        <f t="shared" ca="1" si="98"/>
        <v>0.93333333333333335</v>
      </c>
      <c r="J96">
        <f t="shared" ca="1" si="99"/>
        <v>0.93333333333333335</v>
      </c>
      <c r="K96">
        <f t="shared" ca="1" si="100"/>
        <v>0.87499999999999989</v>
      </c>
      <c r="L96">
        <f t="shared" ca="1" si="101"/>
        <v>0.93333333333333335</v>
      </c>
      <c r="M96">
        <f t="shared" ca="1" si="102"/>
        <v>0.8666666666666667</v>
      </c>
      <c r="N96">
        <f t="shared" ca="1" si="103"/>
        <v>0.93333333333333335</v>
      </c>
    </row>
    <row r="97" spans="1:14">
      <c r="A97" s="15" t="s">
        <v>304</v>
      </c>
      <c r="B97">
        <v>30</v>
      </c>
      <c r="C97">
        <f ca="1">Final_evaluation!$O$230</f>
        <v>2</v>
      </c>
      <c r="D97">
        <f ca="1">Final_evaluation!$P$230</f>
        <v>2</v>
      </c>
      <c r="E97">
        <f ca="1">Final_evaluation!$O$231</f>
        <v>5</v>
      </c>
      <c r="F97">
        <f ca="1">Final_evaluation!$P$231</f>
        <v>4</v>
      </c>
      <c r="G97">
        <f t="shared" ca="1" si="96"/>
        <v>0.83333333333333337</v>
      </c>
      <c r="H97">
        <f t="shared" ca="1" si="97"/>
        <v>0.84615384615384615</v>
      </c>
      <c r="I97">
        <f t="shared" ca="1" si="98"/>
        <v>0.66666666666666663</v>
      </c>
      <c r="J97">
        <f t="shared" ca="1" si="99"/>
        <v>0.73333333333333328</v>
      </c>
      <c r="K97">
        <f t="shared" ca="1" si="100"/>
        <v>0.74074074074074081</v>
      </c>
      <c r="L97">
        <f t="shared" ca="1" si="101"/>
        <v>0.78571428571428559</v>
      </c>
      <c r="M97">
        <f t="shared" ca="1" si="102"/>
        <v>0.76666666666666672</v>
      </c>
      <c r="N97">
        <f t="shared" ca="1" si="103"/>
        <v>0.8</v>
      </c>
    </row>
    <row r="98" spans="1:14">
      <c r="A98" s="15" t="s">
        <v>305</v>
      </c>
      <c r="B98">
        <v>30</v>
      </c>
      <c r="C98">
        <f ca="1">Final_evaluation!$O$232</f>
        <v>3</v>
      </c>
      <c r="D98">
        <f ca="1">Final_evaluation!$P$232</f>
        <v>5</v>
      </c>
      <c r="E98">
        <f ca="1">Final_evaluation!$O$233</f>
        <v>4</v>
      </c>
      <c r="F98">
        <f ca="1">Final_evaluation!$P$233</f>
        <v>5</v>
      </c>
      <c r="G98">
        <f t="shared" ca="1" si="96"/>
        <v>0.7857142857142857</v>
      </c>
      <c r="H98">
        <f t="shared" ca="1" si="97"/>
        <v>0.66666666666666663</v>
      </c>
      <c r="I98">
        <f t="shared" ca="1" si="98"/>
        <v>0.73333333333333328</v>
      </c>
      <c r="J98">
        <f t="shared" ca="1" si="99"/>
        <v>0.66666666666666663</v>
      </c>
      <c r="K98">
        <f t="shared" ca="1" si="100"/>
        <v>0.75862068965517238</v>
      </c>
      <c r="L98">
        <f t="shared" ca="1" si="101"/>
        <v>0.66666666666666663</v>
      </c>
      <c r="M98">
        <f t="shared" ca="1" si="102"/>
        <v>0.76666666666666672</v>
      </c>
      <c r="N98">
        <f t="shared" ca="1" si="103"/>
        <v>0.66666666666666663</v>
      </c>
    </row>
    <row r="99" spans="1:14">
      <c r="A99" s="15" t="s">
        <v>311</v>
      </c>
      <c r="B99">
        <v>32</v>
      </c>
      <c r="C99">
        <f ca="1">Final_evaluation!$O$234</f>
        <v>4</v>
      </c>
      <c r="D99">
        <f ca="1">Final_evaluation!$P$234</f>
        <v>3</v>
      </c>
      <c r="E99">
        <f ca="1">Final_evaluation!$O$235</f>
        <v>6</v>
      </c>
      <c r="F99">
        <f ca="1">Final_evaluation!$P$235</f>
        <v>7</v>
      </c>
      <c r="G99">
        <f t="shared" ca="1" si="96"/>
        <v>0.7142857142857143</v>
      </c>
      <c r="H99">
        <f t="shared" ca="1" si="97"/>
        <v>0.75</v>
      </c>
      <c r="I99">
        <f t="shared" ca="1" si="98"/>
        <v>0.625</v>
      </c>
      <c r="J99">
        <f t="shared" ca="1" si="99"/>
        <v>0.5625</v>
      </c>
      <c r="K99">
        <f t="shared" ca="1" si="100"/>
        <v>0.66666666666666663</v>
      </c>
      <c r="L99">
        <f t="shared" ca="1" si="101"/>
        <v>0.6428571428571429</v>
      </c>
      <c r="M99">
        <f t="shared" ca="1" si="102"/>
        <v>0.6875</v>
      </c>
      <c r="N99">
        <f t="shared" ca="1" si="103"/>
        <v>0.6875</v>
      </c>
    </row>
    <row r="100" spans="1:14">
      <c r="A100" s="15" t="s">
        <v>312</v>
      </c>
      <c r="B100">
        <v>40</v>
      </c>
      <c r="C100">
        <f ca="1">Final_evaluation!$O$236</f>
        <v>1</v>
      </c>
      <c r="D100">
        <f ca="1">Final_evaluation!$P$236</f>
        <v>2</v>
      </c>
      <c r="E100">
        <f ca="1">Final_evaluation!$O$237</f>
        <v>1</v>
      </c>
      <c r="F100">
        <f ca="1">Final_evaluation!$P$237</f>
        <v>3</v>
      </c>
      <c r="G100">
        <f t="shared" ca="1" si="96"/>
        <v>0.95</v>
      </c>
      <c r="H100">
        <f t="shared" ca="1" si="97"/>
        <v>0.89473684210526316</v>
      </c>
      <c r="I100">
        <f t="shared" ca="1" si="98"/>
        <v>0.95</v>
      </c>
      <c r="J100">
        <f t="shared" ca="1" si="99"/>
        <v>0.85</v>
      </c>
      <c r="K100">
        <f t="shared" ca="1" si="100"/>
        <v>0.95000000000000007</v>
      </c>
      <c r="L100">
        <f t="shared" ca="1" si="101"/>
        <v>0.87179487179487181</v>
      </c>
      <c r="M100">
        <f t="shared" ca="1" si="102"/>
        <v>0.95</v>
      </c>
      <c r="N100">
        <f t="shared" ca="1" si="103"/>
        <v>0.875</v>
      </c>
    </row>
    <row r="101" spans="1:14">
      <c r="A101" s="15" t="s">
        <v>313</v>
      </c>
      <c r="B101">
        <f>SUM(B94:B100)</f>
        <v>222</v>
      </c>
      <c r="C101">
        <f t="shared" ref="C101" ca="1" si="104">SUM(C94:C100)</f>
        <v>20</v>
      </c>
      <c r="D101">
        <f t="shared" ref="D101:F101" ca="1" si="105">SUM(D94:D100)</f>
        <v>20</v>
      </c>
      <c r="E101">
        <f t="shared" ref="E101" ca="1" si="106">SUM(E94:E100)</f>
        <v>23</v>
      </c>
      <c r="F101">
        <f t="shared" ca="1" si="105"/>
        <v>25</v>
      </c>
      <c r="G101">
        <f t="shared" ca="1" si="96"/>
        <v>0.81481481481481477</v>
      </c>
      <c r="H101">
        <f t="shared" ca="1" si="97"/>
        <v>0.81132075471698117</v>
      </c>
      <c r="I101">
        <f t="shared" ca="1" si="98"/>
        <v>0.7927927927927928</v>
      </c>
      <c r="J101">
        <f t="shared" ca="1" si="99"/>
        <v>0.77477477477477474</v>
      </c>
      <c r="K101">
        <f t="shared" ca="1" si="100"/>
        <v>0.80365296803652964</v>
      </c>
      <c r="L101">
        <f t="shared" ca="1" si="101"/>
        <v>0.79262672811059898</v>
      </c>
      <c r="M101">
        <f t="shared" ca="1" si="102"/>
        <v>0.80630630630630629</v>
      </c>
      <c r="N101">
        <f t="shared" ca="1" si="103"/>
        <v>0.79729729729729726</v>
      </c>
    </row>
  </sheetData>
  <mergeCells count="7">
    <mergeCell ref="T2:T3"/>
    <mergeCell ref="U2:AB2"/>
    <mergeCell ref="T13:T14"/>
    <mergeCell ref="U13:AB13"/>
    <mergeCell ref="T24:T25"/>
    <mergeCell ref="U24:X24"/>
    <mergeCell ref="Z24:A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2026-01-15T14:18:19Z</dcterms:created>
  <dcterms:modified xsi:type="dcterms:W3CDTF">2026-02-06T10:45:31Z</dcterms:modified>
  <cp:category/>
  <cp:contentStatus/>
</cp:coreProperties>
</file>