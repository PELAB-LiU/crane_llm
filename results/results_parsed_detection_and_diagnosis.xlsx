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xr:revisionPtr revIDLastSave="0" documentId="8_{1A4094A8-61B0-43F4-A98E-BB758A30C79A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Final_evaluation" sheetId="1" r:id="rId1"/>
    <sheet name="Results_summary" sheetId="2" r:id="rId2"/>
  </sheets>
  <externalReferences>
    <externalReference r:id="rId3"/>
  </externalReferences>
  <definedNames>
    <definedName name="_xlnm._FilterDatabase" localSheetId="0" hidden="1">Final_evaluation!$A$1:$G$183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2" l="1"/>
  <c r="B22" i="2"/>
  <c r="B11" i="2"/>
  <c r="E235" i="1" a="1"/>
  <c r="E235" i="1"/>
  <c r="F20" i="2" s="1"/>
  <c r="D235" i="1" a="1"/>
  <c r="D235" i="1"/>
  <c r="E20" i="2" s="1"/>
  <c r="C235" i="1" a="1"/>
  <c r="C235" i="1"/>
  <c r="B235" i="1" a="1"/>
  <c r="B235" i="1"/>
  <c r="E9" i="2" s="1"/>
  <c r="G234" i="1" a="1"/>
  <c r="G234" i="1"/>
  <c r="D31" i="2" s="1"/>
  <c r="F234" i="1" a="1"/>
  <c r="F234" i="1"/>
  <c r="C31" i="2" s="1"/>
  <c r="E234" i="1" a="1"/>
  <c r="E234" i="1"/>
  <c r="D20" i="2" s="1"/>
  <c r="D234" i="1" a="1"/>
  <c r="D234" i="1"/>
  <c r="C20" i="2" s="1"/>
  <c r="C234" i="1" a="1"/>
  <c r="C234" i="1"/>
  <c r="B234" i="1" a="1"/>
  <c r="B234" i="1"/>
  <c r="C9" i="2" s="1"/>
  <c r="G233" i="1" a="1"/>
  <c r="G233" i="1"/>
  <c r="F30" i="2" s="1"/>
  <c r="F233" i="1" a="1"/>
  <c r="F233" i="1"/>
  <c r="E30" i="2" s="1"/>
  <c r="E233" i="1" a="1"/>
  <c r="E233" i="1"/>
  <c r="F19" i="2" s="1"/>
  <c r="D233" i="1" a="1"/>
  <c r="D233" i="1"/>
  <c r="E19" i="2" s="1"/>
  <c r="C233" i="1" a="1"/>
  <c r="C233" i="1"/>
  <c r="B233" i="1" a="1"/>
  <c r="B233" i="1"/>
  <c r="E8" i="2" s="1"/>
  <c r="G232" i="1" a="1"/>
  <c r="G232" i="1"/>
  <c r="D30" i="2" s="1"/>
  <c r="F232" i="1" a="1"/>
  <c r="F232" i="1"/>
  <c r="C30" i="2" s="1"/>
  <c r="E232" i="1" a="1"/>
  <c r="E232" i="1"/>
  <c r="D19" i="2" s="1"/>
  <c r="D232" i="1" a="1"/>
  <c r="D232" i="1"/>
  <c r="C19" i="2" s="1"/>
  <c r="C232" i="1" a="1"/>
  <c r="C232" i="1"/>
  <c r="B232" i="1" a="1"/>
  <c r="B232" i="1"/>
  <c r="C8" i="2" s="1"/>
  <c r="G237" i="1" a="1"/>
  <c r="G237" i="1"/>
  <c r="F32" i="2" s="1"/>
  <c r="F237" i="1" a="1"/>
  <c r="F237" i="1"/>
  <c r="E32" i="2" s="1"/>
  <c r="E237" i="1" a="1"/>
  <c r="E237" i="1"/>
  <c r="F21" i="2" s="1"/>
  <c r="D237" i="1" a="1"/>
  <c r="D237" i="1"/>
  <c r="E21" i="2" s="1"/>
  <c r="C237" i="1" a="1"/>
  <c r="C237" i="1"/>
  <c r="B237" i="1" a="1"/>
  <c r="B237" i="1"/>
  <c r="E10" i="2" s="1"/>
  <c r="G236" i="1" a="1"/>
  <c r="G236" i="1"/>
  <c r="D32" i="2" s="1"/>
  <c r="F236" i="1" a="1"/>
  <c r="F236" i="1"/>
  <c r="C32" i="2" s="1"/>
  <c r="E236" i="1" a="1"/>
  <c r="E236" i="1"/>
  <c r="D21" i="2" s="1"/>
  <c r="D236" i="1" a="1"/>
  <c r="D236" i="1"/>
  <c r="C21" i="2" s="1"/>
  <c r="C236" i="1" a="1"/>
  <c r="C236" i="1"/>
  <c r="B236" i="1" a="1"/>
  <c r="B236" i="1"/>
  <c r="C10" i="2" s="1"/>
  <c r="G235" i="1" a="1"/>
  <c r="G235" i="1"/>
  <c r="F31" i="2" s="1"/>
  <c r="F235" i="1" a="1"/>
  <c r="F235" i="1"/>
  <c r="E31" i="2" s="1"/>
  <c r="E225" i="1" a="1"/>
  <c r="E225" i="1"/>
  <c r="F15" i="2" s="1"/>
  <c r="D225" i="1" a="1"/>
  <c r="D225" i="1"/>
  <c r="E15" i="2" s="1"/>
  <c r="C225" i="1" a="1"/>
  <c r="C225" i="1"/>
  <c r="B225" i="1" a="1"/>
  <c r="B225" i="1"/>
  <c r="E4" i="2" s="1"/>
  <c r="G224" i="1" a="1"/>
  <c r="G224" i="1"/>
  <c r="D26" i="2" s="1"/>
  <c r="F224" i="1" a="1"/>
  <c r="F224" i="1"/>
  <c r="C26" i="2" s="1"/>
  <c r="E224" i="1" a="1"/>
  <c r="E224" i="1"/>
  <c r="D15" i="2" s="1"/>
  <c r="D224" i="1" a="1"/>
  <c r="D224" i="1"/>
  <c r="C15" i="2" s="1"/>
  <c r="C224" i="1" a="1"/>
  <c r="C224" i="1"/>
  <c r="B224" i="1" a="1"/>
  <c r="B224" i="1"/>
  <c r="C4" i="2" s="1"/>
  <c r="G231" i="1" a="1"/>
  <c r="G231" i="1"/>
  <c r="F29" i="2" s="1"/>
  <c r="F231" i="1" a="1"/>
  <c r="F231" i="1"/>
  <c r="E29" i="2" s="1"/>
  <c r="E231" i="1" a="1"/>
  <c r="E231" i="1"/>
  <c r="F18" i="2" s="1"/>
  <c r="D231" i="1" a="1"/>
  <c r="D231" i="1"/>
  <c r="E18" i="2" s="1"/>
  <c r="C231" i="1" a="1"/>
  <c r="C231" i="1"/>
  <c r="B231" i="1" a="1"/>
  <c r="B231" i="1"/>
  <c r="E7" i="2" s="1"/>
  <c r="G230" i="1" a="1"/>
  <c r="G230" i="1"/>
  <c r="D29" i="2" s="1"/>
  <c r="F230" i="1" a="1"/>
  <c r="F230" i="1"/>
  <c r="C29" i="2" s="1"/>
  <c r="E230" i="1" a="1"/>
  <c r="E230" i="1"/>
  <c r="D18" i="2" s="1"/>
  <c r="D230" i="1" a="1"/>
  <c r="D230" i="1"/>
  <c r="C18" i="2" s="1"/>
  <c r="C230" i="1" a="1"/>
  <c r="C230" i="1"/>
  <c r="B230" i="1" a="1"/>
  <c r="B230" i="1"/>
  <c r="C7" i="2" s="1"/>
  <c r="G229" i="1" a="1"/>
  <c r="G229" i="1"/>
  <c r="F28" i="2" s="1"/>
  <c r="F229" i="1" a="1"/>
  <c r="F229" i="1"/>
  <c r="E28" i="2" s="1"/>
  <c r="E229" i="1" a="1"/>
  <c r="E229" i="1"/>
  <c r="F17" i="2" s="1"/>
  <c r="D229" i="1" a="1"/>
  <c r="D229" i="1"/>
  <c r="E17" i="2" s="1"/>
  <c r="C229" i="1" a="1"/>
  <c r="C229" i="1"/>
  <c r="B229" i="1" a="1"/>
  <c r="B229" i="1"/>
  <c r="E6" i="2" s="1"/>
  <c r="G228" i="1" a="1"/>
  <c r="G228" i="1"/>
  <c r="D28" i="2" s="1"/>
  <c r="F228" i="1" a="1"/>
  <c r="F228" i="1"/>
  <c r="C28" i="2" s="1"/>
  <c r="E228" i="1" a="1"/>
  <c r="E228" i="1"/>
  <c r="D17" i="2" s="1"/>
  <c r="D228" i="1" a="1"/>
  <c r="D228" i="1"/>
  <c r="C17" i="2" s="1"/>
  <c r="C228" i="1" a="1"/>
  <c r="C228" i="1"/>
  <c r="B228" i="1" a="1"/>
  <c r="B228" i="1"/>
  <c r="C6" i="2" s="1"/>
  <c r="G227" i="1" a="1"/>
  <c r="G227" i="1"/>
  <c r="F27" i="2" s="1"/>
  <c r="F227" i="1" a="1"/>
  <c r="F227" i="1"/>
  <c r="E27" i="2" s="1"/>
  <c r="E227" i="1" a="1"/>
  <c r="E227" i="1"/>
  <c r="F16" i="2" s="1"/>
  <c r="D227" i="1" a="1"/>
  <c r="D227" i="1"/>
  <c r="E16" i="2" s="1"/>
  <c r="C227" i="1" a="1"/>
  <c r="C227" i="1"/>
  <c r="B227" i="1" a="1"/>
  <c r="B227" i="1"/>
  <c r="E5" i="2" s="1"/>
  <c r="G226" i="1" a="1"/>
  <c r="G226" i="1"/>
  <c r="D27" i="2" s="1"/>
  <c r="F226" i="1" a="1"/>
  <c r="F226" i="1"/>
  <c r="C27" i="2" s="1"/>
  <c r="E226" i="1" a="1"/>
  <c r="E226" i="1"/>
  <c r="D16" i="2" s="1"/>
  <c r="D226" i="1" a="1"/>
  <c r="D226" i="1"/>
  <c r="C16" i="2" s="1"/>
  <c r="C226" i="1" a="1"/>
  <c r="C226" i="1"/>
  <c r="B226" i="1" a="1"/>
  <c r="B226" i="1"/>
  <c r="C5" i="2" s="1"/>
  <c r="G225" i="1" a="1"/>
  <c r="G225" i="1"/>
  <c r="F26" i="2" s="1"/>
  <c r="F225" i="1" a="1"/>
  <c r="F225" i="1"/>
  <c r="E26" i="2" s="1"/>
  <c r="G256" i="1" a="1"/>
  <c r="G256" i="1" s="1"/>
  <c r="F256" i="1" a="1"/>
  <c r="F256" i="1" s="1"/>
  <c r="E256" i="1" a="1"/>
  <c r="E256" i="1" s="1"/>
  <c r="D256" i="1" a="1"/>
  <c r="D256" i="1" s="1"/>
  <c r="C256" i="1" a="1"/>
  <c r="C256" i="1" s="1"/>
  <c r="B256" i="1" a="1"/>
  <c r="B256" i="1" s="1"/>
  <c r="G255" i="1" a="1"/>
  <c r="G255" i="1" s="1"/>
  <c r="F255" i="1" a="1"/>
  <c r="F255" i="1" s="1"/>
  <c r="E255" i="1" a="1"/>
  <c r="E255" i="1" s="1"/>
  <c r="D255" i="1" a="1"/>
  <c r="D255" i="1" s="1"/>
  <c r="C255" i="1" a="1"/>
  <c r="C255" i="1" s="1"/>
  <c r="B255" i="1" a="1"/>
  <c r="B255" i="1" s="1"/>
  <c r="G254" i="1"/>
  <c r="F254" i="1"/>
  <c r="E254" i="1"/>
  <c r="D254" i="1"/>
  <c r="C254" i="1"/>
  <c r="B254" i="1"/>
  <c r="G250" i="1" a="1"/>
  <c r="G250" i="1" s="1"/>
  <c r="G251" i="1" s="1"/>
  <c r="F250" i="1" a="1"/>
  <c r="F250" i="1" s="1"/>
  <c r="F251" i="1" s="1"/>
  <c r="E250" i="1" a="1"/>
  <c r="E250" i="1" s="1"/>
  <c r="E251" i="1" s="1"/>
  <c r="D250" i="1" a="1"/>
  <c r="D250" i="1" s="1"/>
  <c r="D251" i="1" s="1"/>
  <c r="C250" i="1" a="1"/>
  <c r="C250" i="1" s="1"/>
  <c r="C251" i="1" s="1"/>
  <c r="B250" i="1" a="1"/>
  <c r="B250" i="1" s="1"/>
  <c r="B251" i="1" s="1"/>
  <c r="G248" i="1" a="1"/>
  <c r="G248" i="1" s="1"/>
  <c r="G249" i="1" s="1"/>
  <c r="F248" i="1" a="1"/>
  <c r="F248" i="1" s="1"/>
  <c r="F249" i="1" s="1"/>
  <c r="E248" i="1" a="1"/>
  <c r="E248" i="1" s="1"/>
  <c r="E249" i="1" s="1"/>
  <c r="D248" i="1" a="1"/>
  <c r="D248" i="1" s="1"/>
  <c r="D249" i="1" s="1"/>
  <c r="C248" i="1" a="1"/>
  <c r="C248" i="1" s="1"/>
  <c r="C249" i="1" s="1"/>
  <c r="B248" i="1" a="1"/>
  <c r="B248" i="1" s="1"/>
  <c r="B249" i="1" s="1"/>
  <c r="G246" i="1" a="1"/>
  <c r="G246" i="1" s="1"/>
  <c r="G247" i="1" s="1"/>
  <c r="F246" i="1" a="1"/>
  <c r="F246" i="1" s="1"/>
  <c r="F247" i="1" s="1"/>
  <c r="E246" i="1" a="1"/>
  <c r="E246" i="1" s="1"/>
  <c r="E247" i="1" s="1"/>
  <c r="D246" i="1" a="1"/>
  <c r="D246" i="1" s="1"/>
  <c r="D247" i="1" s="1"/>
  <c r="C246" i="1" a="1"/>
  <c r="C246" i="1" s="1"/>
  <c r="C247" i="1" s="1"/>
  <c r="B246" i="1" a="1"/>
  <c r="B246" i="1" s="1"/>
  <c r="B247" i="1" s="1"/>
  <c r="G244" i="1" a="1"/>
  <c r="G244" i="1" s="1"/>
  <c r="G245" i="1" s="1"/>
  <c r="F244" i="1" a="1"/>
  <c r="F244" i="1" s="1"/>
  <c r="F245" i="1" s="1"/>
  <c r="E244" i="1" a="1"/>
  <c r="E244" i="1" s="1"/>
  <c r="E245" i="1" s="1"/>
  <c r="D244" i="1" a="1"/>
  <c r="D244" i="1" s="1"/>
  <c r="D245" i="1" s="1"/>
  <c r="C244" i="1" a="1"/>
  <c r="C244" i="1" s="1"/>
  <c r="C245" i="1" s="1"/>
  <c r="B244" i="1" a="1"/>
  <c r="B244" i="1" s="1"/>
  <c r="B245" i="1" s="1"/>
  <c r="G242" i="1" a="1"/>
  <c r="G242" i="1" s="1"/>
  <c r="G243" i="1" s="1"/>
  <c r="F242" i="1" a="1"/>
  <c r="F242" i="1" s="1"/>
  <c r="F243" i="1" s="1"/>
  <c r="E242" i="1" a="1"/>
  <c r="E242" i="1" s="1"/>
  <c r="E243" i="1" s="1"/>
  <c r="D242" i="1" a="1"/>
  <c r="D242" i="1" s="1"/>
  <c r="D243" i="1" s="1"/>
  <c r="C242" i="1" a="1"/>
  <c r="C242" i="1" s="1"/>
  <c r="C243" i="1" s="1"/>
  <c r="B242" i="1" a="1"/>
  <c r="B242" i="1" s="1"/>
  <c r="B243" i="1" s="1"/>
  <c r="G240" i="1" a="1"/>
  <c r="G240" i="1" s="1"/>
  <c r="G241" i="1" s="1"/>
  <c r="F240" i="1" a="1"/>
  <c r="F240" i="1" s="1"/>
  <c r="F241" i="1" s="1"/>
  <c r="E240" i="1" a="1"/>
  <c r="E240" i="1" s="1"/>
  <c r="E241" i="1" s="1"/>
  <c r="D240" i="1" a="1"/>
  <c r="D240" i="1" s="1"/>
  <c r="D241" i="1" s="1"/>
  <c r="C240" i="1" a="1"/>
  <c r="C240" i="1" s="1"/>
  <c r="C241" i="1" s="1"/>
  <c r="B240" i="1" a="1"/>
  <c r="B240" i="1" s="1"/>
  <c r="B241" i="1" s="1"/>
  <c r="G238" i="1" a="1"/>
  <c r="G238" i="1" s="1"/>
  <c r="F238" i="1" a="1"/>
  <c r="F238" i="1" s="1"/>
  <c r="E238" i="1" a="1"/>
  <c r="E238" i="1" s="1"/>
  <c r="D238" i="1" a="1"/>
  <c r="D238" i="1" s="1"/>
  <c r="C238" i="1" a="1"/>
  <c r="C238" i="1" s="1"/>
  <c r="B238" i="1" a="1"/>
  <c r="B238" i="1" s="1"/>
  <c r="D5" i="2" l="1"/>
  <c r="F5" i="2"/>
  <c r="D6" i="2"/>
  <c r="F6" i="2"/>
  <c r="D7" i="2"/>
  <c r="F7" i="2"/>
  <c r="D4" i="2"/>
  <c r="F4" i="2"/>
  <c r="D10" i="2"/>
  <c r="F10" i="2"/>
  <c r="D8" i="2"/>
  <c r="F8" i="2"/>
  <c r="D9" i="2"/>
  <c r="F9" i="2"/>
  <c r="C11" i="2"/>
  <c r="Q4" i="2"/>
  <c r="G4" i="2"/>
  <c r="D11" i="2"/>
  <c r="R4" i="2"/>
  <c r="H4" i="2"/>
  <c r="E11" i="2"/>
  <c r="M4" i="2"/>
  <c r="K4" i="2"/>
  <c r="O4" i="2" s="1"/>
  <c r="I4" i="2"/>
  <c r="F11" i="2"/>
  <c r="N4" i="2"/>
  <c r="L4" i="2"/>
  <c r="P4" i="2" s="1"/>
  <c r="J4" i="2"/>
  <c r="Q5" i="2"/>
  <c r="G5" i="2"/>
  <c r="R5" i="2"/>
  <c r="H5" i="2"/>
  <c r="M5" i="2"/>
  <c r="K5" i="2"/>
  <c r="O5" i="2" s="1"/>
  <c r="I5" i="2"/>
  <c r="N5" i="2"/>
  <c r="L5" i="2"/>
  <c r="P5" i="2" s="1"/>
  <c r="J5" i="2"/>
  <c r="Q6" i="2"/>
  <c r="G6" i="2"/>
  <c r="R6" i="2"/>
  <c r="H6" i="2"/>
  <c r="M6" i="2"/>
  <c r="K6" i="2"/>
  <c r="O6" i="2" s="1"/>
  <c r="I6" i="2"/>
  <c r="N6" i="2"/>
  <c r="L6" i="2"/>
  <c r="P6" i="2" s="1"/>
  <c r="J6" i="2"/>
  <c r="Q7" i="2"/>
  <c r="G7" i="2"/>
  <c r="R7" i="2"/>
  <c r="H7" i="2"/>
  <c r="M7" i="2"/>
  <c r="K7" i="2"/>
  <c r="O7" i="2" s="1"/>
  <c r="I7" i="2"/>
  <c r="N7" i="2"/>
  <c r="L7" i="2"/>
  <c r="P7" i="2" s="1"/>
  <c r="J7" i="2"/>
  <c r="Q8" i="2"/>
  <c r="G8" i="2"/>
  <c r="R8" i="2"/>
  <c r="H8" i="2"/>
  <c r="M8" i="2"/>
  <c r="K8" i="2"/>
  <c r="O8" i="2" s="1"/>
  <c r="I8" i="2"/>
  <c r="N8" i="2"/>
  <c r="L8" i="2"/>
  <c r="P8" i="2" s="1"/>
  <c r="J8" i="2"/>
  <c r="Q9" i="2"/>
  <c r="G9" i="2"/>
  <c r="R9" i="2"/>
  <c r="H9" i="2"/>
  <c r="M9" i="2"/>
  <c r="K9" i="2"/>
  <c r="O9" i="2" s="1"/>
  <c r="I9" i="2"/>
  <c r="N9" i="2"/>
  <c r="L9" i="2"/>
  <c r="P9" i="2" s="1"/>
  <c r="J9" i="2"/>
  <c r="Q10" i="2"/>
  <c r="G10" i="2"/>
  <c r="R10" i="2"/>
  <c r="H10" i="2"/>
  <c r="M10" i="2"/>
  <c r="K10" i="2"/>
  <c r="O10" i="2" s="1"/>
  <c r="I10" i="2"/>
  <c r="N10" i="2"/>
  <c r="L10" i="2"/>
  <c r="P10" i="2" s="1"/>
  <c r="J10" i="2"/>
  <c r="R11" i="2"/>
  <c r="Q11" i="2"/>
  <c r="N11" i="2"/>
  <c r="M11" i="2"/>
  <c r="L11" i="2"/>
  <c r="K11" i="2"/>
  <c r="C22" i="2"/>
  <c r="Q15" i="2"/>
  <c r="G15" i="2"/>
  <c r="D22" i="2"/>
  <c r="R15" i="2"/>
  <c r="H15" i="2"/>
  <c r="E22" i="2"/>
  <c r="M15" i="2"/>
  <c r="K15" i="2"/>
  <c r="O15" i="2" s="1"/>
  <c r="I15" i="2"/>
  <c r="F22" i="2"/>
  <c r="N15" i="2"/>
  <c r="L15" i="2"/>
  <c r="P15" i="2" s="1"/>
  <c r="J15" i="2"/>
  <c r="Q16" i="2"/>
  <c r="G16" i="2"/>
  <c r="R16" i="2"/>
  <c r="H16" i="2"/>
  <c r="M16" i="2"/>
  <c r="K16" i="2"/>
  <c r="O16" i="2" s="1"/>
  <c r="I16" i="2"/>
  <c r="N16" i="2"/>
  <c r="L16" i="2"/>
  <c r="P16" i="2" s="1"/>
  <c r="J16" i="2"/>
  <c r="Q17" i="2"/>
  <c r="G17" i="2"/>
  <c r="R17" i="2"/>
  <c r="H17" i="2"/>
  <c r="M17" i="2"/>
  <c r="K17" i="2"/>
  <c r="O17" i="2" s="1"/>
  <c r="I17" i="2"/>
  <c r="N17" i="2"/>
  <c r="L17" i="2"/>
  <c r="P17" i="2" s="1"/>
  <c r="J17" i="2"/>
  <c r="Q18" i="2"/>
  <c r="G18" i="2"/>
  <c r="R18" i="2"/>
  <c r="H18" i="2"/>
  <c r="M18" i="2"/>
  <c r="K18" i="2"/>
  <c r="O18" i="2" s="1"/>
  <c r="I18" i="2"/>
  <c r="N18" i="2"/>
  <c r="L18" i="2"/>
  <c r="P18" i="2" s="1"/>
  <c r="J18" i="2"/>
  <c r="Q19" i="2"/>
  <c r="G19" i="2"/>
  <c r="R19" i="2"/>
  <c r="H19" i="2"/>
  <c r="M19" i="2"/>
  <c r="K19" i="2"/>
  <c r="O19" i="2" s="1"/>
  <c r="I19" i="2"/>
  <c r="N19" i="2"/>
  <c r="L19" i="2"/>
  <c r="P19" i="2" s="1"/>
  <c r="J19" i="2"/>
  <c r="Q20" i="2"/>
  <c r="G20" i="2"/>
  <c r="R20" i="2"/>
  <c r="H20" i="2"/>
  <c r="M20" i="2"/>
  <c r="K20" i="2"/>
  <c r="O20" i="2" s="1"/>
  <c r="I20" i="2"/>
  <c r="N20" i="2"/>
  <c r="L20" i="2"/>
  <c r="P20" i="2" s="1"/>
  <c r="J20" i="2"/>
  <c r="Q21" i="2"/>
  <c r="G21" i="2"/>
  <c r="R21" i="2"/>
  <c r="H21" i="2"/>
  <c r="M21" i="2"/>
  <c r="K21" i="2"/>
  <c r="O21" i="2" s="1"/>
  <c r="I21" i="2"/>
  <c r="N21" i="2"/>
  <c r="L21" i="2"/>
  <c r="P21" i="2" s="1"/>
  <c r="J21" i="2"/>
  <c r="R22" i="2"/>
  <c r="Q22" i="2"/>
  <c r="N22" i="2"/>
  <c r="M22" i="2"/>
  <c r="L22" i="2"/>
  <c r="K22" i="2"/>
  <c r="C33" i="2"/>
  <c r="Q26" i="2"/>
  <c r="G26" i="2"/>
  <c r="D33" i="2"/>
  <c r="R26" i="2"/>
  <c r="H26" i="2"/>
  <c r="E33" i="2"/>
  <c r="M26" i="2"/>
  <c r="K26" i="2"/>
  <c r="O26" i="2" s="1"/>
  <c r="I26" i="2"/>
  <c r="F33" i="2"/>
  <c r="N26" i="2"/>
  <c r="L26" i="2"/>
  <c r="P26" i="2" s="1"/>
  <c r="J26" i="2"/>
  <c r="Q27" i="2"/>
  <c r="G27" i="2"/>
  <c r="R27" i="2"/>
  <c r="H27" i="2"/>
  <c r="M27" i="2"/>
  <c r="K27" i="2"/>
  <c r="O27" i="2" s="1"/>
  <c r="I27" i="2"/>
  <c r="N27" i="2"/>
  <c r="L27" i="2"/>
  <c r="P27" i="2" s="1"/>
  <c r="J27" i="2"/>
  <c r="Q28" i="2"/>
  <c r="G28" i="2"/>
  <c r="R28" i="2"/>
  <c r="H28" i="2"/>
  <c r="M28" i="2"/>
  <c r="K28" i="2"/>
  <c r="O28" i="2" s="1"/>
  <c r="I28" i="2"/>
  <c r="N28" i="2"/>
  <c r="L28" i="2"/>
  <c r="P28" i="2" s="1"/>
  <c r="J28" i="2"/>
  <c r="Q29" i="2"/>
  <c r="G29" i="2"/>
  <c r="R29" i="2"/>
  <c r="H29" i="2"/>
  <c r="M29" i="2"/>
  <c r="K29" i="2"/>
  <c r="O29" i="2" s="1"/>
  <c r="I29" i="2"/>
  <c r="N29" i="2"/>
  <c r="L29" i="2"/>
  <c r="P29" i="2" s="1"/>
  <c r="J29" i="2"/>
  <c r="Q30" i="2"/>
  <c r="G30" i="2"/>
  <c r="R30" i="2"/>
  <c r="H30" i="2"/>
  <c r="M30" i="2"/>
  <c r="K30" i="2"/>
  <c r="O30" i="2" s="1"/>
  <c r="I30" i="2"/>
  <c r="N30" i="2"/>
  <c r="L30" i="2"/>
  <c r="P30" i="2" s="1"/>
  <c r="J30" i="2"/>
  <c r="Q31" i="2"/>
  <c r="G31" i="2"/>
  <c r="R31" i="2"/>
  <c r="H31" i="2"/>
  <c r="M31" i="2"/>
  <c r="K31" i="2"/>
  <c r="O31" i="2" s="1"/>
  <c r="I31" i="2"/>
  <c r="N31" i="2"/>
  <c r="L31" i="2"/>
  <c r="P31" i="2" s="1"/>
  <c r="J31" i="2"/>
  <c r="Q32" i="2"/>
  <c r="G32" i="2"/>
  <c r="R32" i="2"/>
  <c r="H32" i="2"/>
  <c r="M32" i="2"/>
  <c r="K32" i="2"/>
  <c r="O32" i="2" s="1"/>
  <c r="I32" i="2"/>
  <c r="N32" i="2"/>
  <c r="L32" i="2"/>
  <c r="P32" i="2" s="1"/>
  <c r="J32" i="2"/>
  <c r="R33" i="2"/>
  <c r="Q33" i="2"/>
  <c r="N33" i="2"/>
  <c r="M33" i="2"/>
  <c r="L33" i="2"/>
  <c r="K33" i="2"/>
  <c r="B252" i="1"/>
  <c r="B253" i="1" s="1"/>
  <c r="B239" i="1"/>
  <c r="C252" i="1"/>
  <c r="C253" i="1" s="1"/>
  <c r="C239" i="1"/>
  <c r="D252" i="1"/>
  <c r="D253" i="1" s="1"/>
  <c r="D239" i="1"/>
  <c r="E252" i="1"/>
  <c r="E253" i="1" s="1"/>
  <c r="E239" i="1"/>
  <c r="F252" i="1"/>
  <c r="F253" i="1" s="1"/>
  <c r="F239" i="1"/>
  <c r="G252" i="1"/>
  <c r="G253" i="1" s="1"/>
  <c r="G239" i="1"/>
  <c r="O33" i="2" l="1"/>
  <c r="Y6" i="2"/>
  <c r="P33" i="2"/>
  <c r="Z6" i="2"/>
  <c r="Z11" i="2" s="1"/>
  <c r="J33" i="2"/>
  <c r="X6" i="2"/>
  <c r="V6" i="2"/>
  <c r="I33" i="2"/>
  <c r="W6" i="2"/>
  <c r="U6" i="2"/>
  <c r="H33" i="2"/>
  <c r="AB6" i="2"/>
  <c r="G33" i="2"/>
  <c r="AA6" i="2"/>
  <c r="O22" i="2"/>
  <c r="Y5" i="2"/>
  <c r="P22" i="2"/>
  <c r="Z5" i="2"/>
  <c r="Z10" i="2" s="1"/>
  <c r="J22" i="2"/>
  <c r="X5" i="2"/>
  <c r="V5" i="2"/>
  <c r="I22" i="2"/>
  <c r="W5" i="2"/>
  <c r="U5" i="2"/>
  <c r="H22" i="2"/>
  <c r="AB5" i="2"/>
  <c r="G22" i="2"/>
  <c r="AA5" i="2"/>
  <c r="O11" i="2"/>
  <c r="Y4" i="2"/>
  <c r="P11" i="2"/>
  <c r="Z4" i="2"/>
  <c r="Z9" i="2" s="1"/>
  <c r="J11" i="2"/>
  <c r="X4" i="2"/>
  <c r="V4" i="2"/>
  <c r="I11" i="2"/>
  <c r="W4" i="2"/>
  <c r="U4" i="2"/>
  <c r="H11" i="2"/>
  <c r="AB4" i="2"/>
  <c r="G11" i="2"/>
  <c r="AA4" i="2"/>
  <c r="AB9" i="2" l="1"/>
  <c r="V9" i="2"/>
  <c r="X9" i="2"/>
  <c r="AB10" i="2"/>
  <c r="V10" i="2"/>
  <c r="X10" i="2"/>
  <c r="AB11" i="2"/>
  <c r="V11" i="2"/>
  <c r="X1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<sst xmlns="http://schemas.openxmlformats.org/spreadsheetml/2006/main" count="1695" uniqueCount="307">
  <si>
    <t>instance</t>
  </si>
  <si>
    <t>crash_detection_gemini_code</t>
  </si>
  <si>
    <t>crash_detection_gemini_runinfo</t>
  </si>
  <si>
    <t>crash_detection_qwen_code</t>
  </si>
  <si>
    <t>crash_detection_qwen_runinfo</t>
  </si>
  <si>
    <t>crash_detection_gpt5_code</t>
  </si>
  <si>
    <t>crash_detection_gpt5_runinfo</t>
  </si>
  <si>
    <t>tensorflow_1_fixed</t>
  </si>
  <si>
    <t>correct</t>
  </si>
  <si>
    <t>tensorflow_2_fixed</t>
  </si>
  <si>
    <t>wrong</t>
  </si>
  <si>
    <t>tensorflow_3_fixed</t>
  </si>
  <si>
    <t>tensorflow_4_fixed</t>
  </si>
  <si>
    <t>tensorflow_5_fixed</t>
  </si>
  <si>
    <t>tensorflow_6_fixed</t>
  </si>
  <si>
    <t>tensorflow_7_fixed</t>
  </si>
  <si>
    <t>tensorflow_8_fixed</t>
  </si>
  <si>
    <t>tensorflow_9_fixed</t>
  </si>
  <si>
    <t>tensorflow_10_fixed</t>
  </si>
  <si>
    <t>tensorflow_11_fixed</t>
  </si>
  <si>
    <t>tensorflow_12_fixed</t>
  </si>
  <si>
    <t>tensorflow_13_fixed</t>
  </si>
  <si>
    <t>tensorflow_14_fixed</t>
  </si>
  <si>
    <t>tensorflow_15_fixed</t>
  </si>
  <si>
    <t>tensorflow_1_reproduced</t>
  </si>
  <si>
    <t>tensorflow_2_reproduced</t>
  </si>
  <si>
    <t>tensorflow_3_reproduced</t>
  </si>
  <si>
    <t>tensorflow_4_reproduced</t>
  </si>
  <si>
    <t>tensorflow_5_reproduced</t>
  </si>
  <si>
    <t>reasoning wrong</t>
  </si>
  <si>
    <t>tensorflow_6_reproduced</t>
  </si>
  <si>
    <t>tensorflow_7_reproduced</t>
  </si>
  <si>
    <t>tensorflow_8_reproduced</t>
  </si>
  <si>
    <t>tensorflow_9_reproduced</t>
  </si>
  <si>
    <t>tensorflow_10_reproduced</t>
  </si>
  <si>
    <t>tensorflow_11_reproduced</t>
  </si>
  <si>
    <t>tensorflow_12_reproduced</t>
  </si>
  <si>
    <t>tensorflow_13_reproduced</t>
  </si>
  <si>
    <t>tensorflow_14_reproduced</t>
  </si>
  <si>
    <t>partially correct</t>
  </si>
  <si>
    <t>tensorflow_15_reproduced</t>
  </si>
  <si>
    <t>torch_1_fixed</t>
  </si>
  <si>
    <t>torch_2_fixed</t>
  </si>
  <si>
    <t>torch_3_fixed</t>
  </si>
  <si>
    <t>torch_4_fixed</t>
  </si>
  <si>
    <t>torch_5_fixed</t>
  </si>
  <si>
    <t>torch_6_fixed</t>
  </si>
  <si>
    <t>torch_7_fixed</t>
  </si>
  <si>
    <t>torch_8_fixed</t>
  </si>
  <si>
    <t>torch_9_fixed</t>
  </si>
  <si>
    <t>torch_10_fixed</t>
  </si>
  <si>
    <t>torch_11_fixed</t>
  </si>
  <si>
    <t>torch_12_fixed</t>
  </si>
  <si>
    <t>torch_13_fixed</t>
  </si>
  <si>
    <t>torch_14_fixed</t>
  </si>
  <si>
    <t>torch_15_fixed</t>
  </si>
  <si>
    <t>torch_1_reproduced</t>
  </si>
  <si>
    <t>torch_2_reproduced</t>
  </si>
  <si>
    <t>torch_3_reproduced</t>
  </si>
  <si>
    <t>torch_4_reproduced</t>
  </si>
  <si>
    <t>torch_5_reproduced</t>
  </si>
  <si>
    <t>torch_6_reproduced</t>
  </si>
  <si>
    <t>torch_7_reproduced</t>
  </si>
  <si>
    <t>torch_8_reproduced</t>
  </si>
  <si>
    <t>torch_9_reproduced</t>
  </si>
  <si>
    <t>torch_10_reproduced</t>
  </si>
  <si>
    <t>torch_11_reproduced</t>
  </si>
  <si>
    <t>torch_12_reproduced</t>
  </si>
  <si>
    <t>torch_13_reproduced</t>
  </si>
  <si>
    <t>torch_14_reproduced</t>
  </si>
  <si>
    <t>torch_15_reproduced</t>
  </si>
  <si>
    <t>sklearn_1_fixed</t>
  </si>
  <si>
    <t>sklearn_2_fixed</t>
  </si>
  <si>
    <t>sklearn_3_fixed</t>
  </si>
  <si>
    <t>sklearn_4_fixed</t>
  </si>
  <si>
    <t>sklearn_5_fixed</t>
  </si>
  <si>
    <t>sklearn_6_fixed</t>
  </si>
  <si>
    <t>sklearn_7_fixed</t>
  </si>
  <si>
    <t>sklearn_8_fixed</t>
  </si>
  <si>
    <t>sklearn_9_fixed</t>
  </si>
  <si>
    <t>sklearn_10_fixed</t>
  </si>
  <si>
    <t>sklearn_11_fixed</t>
  </si>
  <si>
    <t>sklearn_12_fixed</t>
  </si>
  <si>
    <t>sklearn_13_fixed</t>
  </si>
  <si>
    <t>sklearn_14_fixed</t>
  </si>
  <si>
    <t>sklearn_15_fixed</t>
  </si>
  <si>
    <t>sklearn_1_reproduced</t>
  </si>
  <si>
    <t>sklearn_2_reproduced</t>
  </si>
  <si>
    <t>sklearn_3_reproduced</t>
  </si>
  <si>
    <t>sklearn_4_reproduced</t>
  </si>
  <si>
    <t>sklearn_5_reproduced</t>
  </si>
  <si>
    <t>sklearn_6_reproduced</t>
  </si>
  <si>
    <t>sklearn_7_reproduced</t>
  </si>
  <si>
    <t>sklearn_8_reproduced</t>
  </si>
  <si>
    <t>sklearn_9_reproduced</t>
  </si>
  <si>
    <t>sklearn_10_reproduced</t>
  </si>
  <si>
    <t>sklearn_11_reproduced</t>
  </si>
  <si>
    <t>sklearn_12_reproduced</t>
  </si>
  <si>
    <t>sklearn_13_reproduced</t>
  </si>
  <si>
    <t>sklearn_14_reproduced</t>
  </si>
  <si>
    <t>sklearn_15_reproduced</t>
  </si>
  <si>
    <t>pandas_1_fixed</t>
  </si>
  <si>
    <t>pandas_2_fixed</t>
  </si>
  <si>
    <t>pandas_3_fixed</t>
  </si>
  <si>
    <t>pandas_4_fixed</t>
  </si>
  <si>
    <t>pandas_5_fixed</t>
  </si>
  <si>
    <t>pandas_6_fixed</t>
  </si>
  <si>
    <t>pandas_7_fixed</t>
  </si>
  <si>
    <t>pandas_8_fixed</t>
  </si>
  <si>
    <t>pandas_9_fixed</t>
  </si>
  <si>
    <t>pandas_10_fixed</t>
  </si>
  <si>
    <t>pandas_11_fixed</t>
  </si>
  <si>
    <t>pandas_12_fixed</t>
  </si>
  <si>
    <t>pandas_13_fixed</t>
  </si>
  <si>
    <t>pandas_14_fixed</t>
  </si>
  <si>
    <t>pandas_15_fixed</t>
  </si>
  <si>
    <t>pandas_1_reproduced</t>
  </si>
  <si>
    <t>pandas_2_reproduced</t>
  </si>
  <si>
    <t>pandas_3_reproduced</t>
  </si>
  <si>
    <t>pandas_4_reproduced</t>
  </si>
  <si>
    <t>pandas_5_reproduced</t>
  </si>
  <si>
    <t>pandas_6_reproduced</t>
  </si>
  <si>
    <t>pandas_7_reproduced</t>
  </si>
  <si>
    <t>pandas_8_reproduced</t>
  </si>
  <si>
    <t>pandas_9_reproduced</t>
  </si>
  <si>
    <t>pandas_10_reproduced</t>
  </si>
  <si>
    <t>pandas_11_reproduced</t>
  </si>
  <si>
    <t>pandas_12_reproduced</t>
  </si>
  <si>
    <t>pandas_13_reproduced</t>
  </si>
  <si>
    <t>pandas_14_reproduced</t>
  </si>
  <si>
    <t>pandas_15_reproduced</t>
  </si>
  <si>
    <t>numpy_1_fixed</t>
  </si>
  <si>
    <t>numpy_2_fixed</t>
  </si>
  <si>
    <t>numpy_3_fixed</t>
  </si>
  <si>
    <t>numpy_4_fixed</t>
  </si>
  <si>
    <t>numpy_5_fixed</t>
  </si>
  <si>
    <t>numpy_6_fixed</t>
  </si>
  <si>
    <t>numpy_7_fixed</t>
  </si>
  <si>
    <t>numpy_8_fixed</t>
  </si>
  <si>
    <t>numpy_9_fixed</t>
  </si>
  <si>
    <t>numpy_10_fixed</t>
  </si>
  <si>
    <t>numpy_11_fixed</t>
  </si>
  <si>
    <t>numpy_12_fixed</t>
  </si>
  <si>
    <t>numpy_13_fixed</t>
  </si>
  <si>
    <t>numpy_14_fixed</t>
  </si>
  <si>
    <t>numpy_15_fixed</t>
  </si>
  <si>
    <t>numpy_1_reproduced</t>
  </si>
  <si>
    <t>numpy_2_reproduced</t>
  </si>
  <si>
    <t>numpy_3_reproduced</t>
  </si>
  <si>
    <t>numpy_4_reproduced</t>
  </si>
  <si>
    <t>numpy_5_reproduced</t>
  </si>
  <si>
    <t>numpy_6_reproduced</t>
  </si>
  <si>
    <t>numpy_7_reproduced</t>
  </si>
  <si>
    <t>numpy_8_reproduced</t>
  </si>
  <si>
    <t>numpy_9_reproduced</t>
  </si>
  <si>
    <t>numpy_10_reproduced</t>
  </si>
  <si>
    <t>numpy_11_reproduced</t>
  </si>
  <si>
    <t>numpy_12_reproduced</t>
  </si>
  <si>
    <t>numpy_13_reproduced</t>
  </si>
  <si>
    <t>numpy_14_reproduced</t>
  </si>
  <si>
    <t>numpy_15_reproduced</t>
  </si>
  <si>
    <t>matplotlib_1_fixed</t>
  </si>
  <si>
    <t>matplotlib_2_fixed</t>
  </si>
  <si>
    <t>matplotlib_3_fixed</t>
  </si>
  <si>
    <t>matplotlib_4_fixed</t>
  </si>
  <si>
    <t>matplotlib_5_fixed</t>
  </si>
  <si>
    <t>matplotlib_6_fixed</t>
  </si>
  <si>
    <t>seaborn_1_fixed</t>
  </si>
  <si>
    <t>seaborn_2_fixed</t>
  </si>
  <si>
    <t>seaborn_3_fixed</t>
  </si>
  <si>
    <t>seaborn_4_fixed</t>
  </si>
  <si>
    <t>seaborn_5_fixed</t>
  </si>
  <si>
    <t>seaborn_6_fixed</t>
  </si>
  <si>
    <t>lightgbm_1_fixed</t>
  </si>
  <si>
    <t>statsmodels_1_fixed</t>
  </si>
  <si>
    <t>statsmodels_2_fixed</t>
  </si>
  <si>
    <t>torchvision_1_fixed</t>
  </si>
  <si>
    <t>matplotlib_1_reproduced</t>
  </si>
  <si>
    <t>matplotlib_2_reproduced</t>
  </si>
  <si>
    <t>matplotlib_3_reproduced</t>
  </si>
  <si>
    <t>matplotlib_4_reproduced</t>
  </si>
  <si>
    <t>matplotlib_5_reproduced</t>
  </si>
  <si>
    <t>matplotlib_6_reproduced</t>
  </si>
  <si>
    <t>seaborn_1_reproduced</t>
  </si>
  <si>
    <t>seaborn_2_reproduced</t>
  </si>
  <si>
    <t>seaborn_3_reproduced</t>
  </si>
  <si>
    <t>seaborn_4_reproduced</t>
  </si>
  <si>
    <t>seaborn_5_reproduced</t>
  </si>
  <si>
    <t>seaborn_6_reproduced</t>
  </si>
  <si>
    <t>lightgbm_1_reproduced</t>
  </si>
  <si>
    <t>statsmodels_1_reproduced</t>
  </si>
  <si>
    <t>statsmodels_2_reproduced</t>
  </si>
  <si>
    <t>torchvision_1_reproduced</t>
  </si>
  <si>
    <t>NBspecific_1_fixed</t>
  </si>
  <si>
    <t>NBspecific_2_fixed</t>
  </si>
  <si>
    <t>NBspecific_3_fixed</t>
  </si>
  <si>
    <t>NBspecific_4_fixed</t>
  </si>
  <si>
    <t>NBspecific_5_fixed</t>
  </si>
  <si>
    <t>NBspecific_6_fixed</t>
  </si>
  <si>
    <t>NBspecific_7_fixed</t>
  </si>
  <si>
    <t>NBspecific_8_fixed</t>
  </si>
  <si>
    <t>NBspecific_9_fixed</t>
  </si>
  <si>
    <t>NBspecific_10_fixed</t>
  </si>
  <si>
    <t>NBspecific_11_fixed</t>
  </si>
  <si>
    <t>NBspecific_12_fixed</t>
  </si>
  <si>
    <t>NBspecific_13_fixed</t>
  </si>
  <si>
    <t>NBspecific_14_fixed</t>
  </si>
  <si>
    <t>NBspecific_15_fixed</t>
  </si>
  <si>
    <t>NBspecific_16_fixed</t>
  </si>
  <si>
    <t>NBspecific_17_fixed</t>
  </si>
  <si>
    <t>NBspecific_18_fixed</t>
  </si>
  <si>
    <t>NBspecific_19_fixed</t>
  </si>
  <si>
    <t>NBspecific_20_fixed</t>
  </si>
  <si>
    <t>NBspecific_1_reproduced</t>
  </si>
  <si>
    <t>NBspecific_2_reproduced</t>
  </si>
  <si>
    <t>NBspecific_3_reproduced</t>
  </si>
  <si>
    <t>NBspecific_4_reproduced</t>
  </si>
  <si>
    <t>NBspecific_5_reproduced</t>
  </si>
  <si>
    <t>NBspecific_6_reproduced</t>
  </si>
  <si>
    <t>NBspecific_7_reproduced</t>
  </si>
  <si>
    <t>NBspecific_8_reproduced</t>
  </si>
  <si>
    <t>NBspecific_9_reproduced</t>
  </si>
  <si>
    <t>NBspecific_10_reproduced</t>
  </si>
  <si>
    <t>NBspecific_11_reproduced</t>
  </si>
  <si>
    <t>NBspecific_12_reproduced</t>
  </si>
  <si>
    <t>NBspecific_13_reproduced</t>
  </si>
  <si>
    <t>NBspecific_14_reproduced</t>
  </si>
  <si>
    <t>NBspecific_15_reproduced</t>
  </si>
  <si>
    <t>NBspecific_16_reproduced</t>
  </si>
  <si>
    <t>NBspecific_17_reproduced</t>
  </si>
  <si>
    <t>NBspecific_18_reproduced</t>
  </si>
  <si>
    <t>NBspecific_19_reproduced</t>
  </si>
  <si>
    <t>NBspecific_20_reproduced</t>
  </si>
  <si>
    <t>FP_tensorflow</t>
  </si>
  <si>
    <t>FN_tensorflow</t>
  </si>
  <si>
    <t>FP_torch</t>
  </si>
  <si>
    <t>FN_torch</t>
  </si>
  <si>
    <t>FP_sklearn</t>
  </si>
  <si>
    <t>FN_sklearn</t>
  </si>
  <si>
    <t>FP_pandas</t>
  </si>
  <si>
    <t>FN_pandas</t>
  </si>
  <si>
    <t>FP_numpy</t>
  </si>
  <si>
    <t>FN_numpy</t>
  </si>
  <si>
    <t>FP_other</t>
  </si>
  <si>
    <t>FN_other</t>
  </si>
  <si>
    <t>FP_NBspecific</t>
  </si>
  <si>
    <t>FN_NBspecific</t>
  </si>
  <si>
    <t>corrects_tensorflow</t>
  </si>
  <si>
    <t>acc_tensorflow</t>
  </si>
  <si>
    <t>corrects_torch</t>
  </si>
  <si>
    <t>acc_torch</t>
  </si>
  <si>
    <t>corrects_sklearn</t>
  </si>
  <si>
    <t>acc_sklearn</t>
  </si>
  <si>
    <t>corrects_pandas</t>
  </si>
  <si>
    <t>acc_pandas</t>
  </si>
  <si>
    <t>corrects_numpy</t>
  </si>
  <si>
    <t>acc_numpy</t>
  </si>
  <si>
    <t>corrects_other</t>
  </si>
  <si>
    <t>acc_other</t>
  </si>
  <si>
    <t>corrects_nbspecific</t>
  </si>
  <si>
    <t>acc_nbspecific</t>
  </si>
  <si>
    <t>corrects_all</t>
  </si>
  <si>
    <t>acc_all</t>
  </si>
  <si>
    <t>total_wrong_reproduced</t>
  </si>
  <si>
    <t>total_partiallycorrect</t>
  </si>
  <si>
    <t>total_reasoningwrong</t>
  </si>
  <si>
    <t>Crash detection and diagnosis results</t>
  </si>
  <si>
    <t>Overall results</t>
  </si>
  <si>
    <t>LLM</t>
  </si>
  <si>
    <t>Crash detection and diagnosis</t>
  </si>
  <si>
    <t>gemini 2.5 flash</t>
  </si>
  <si>
    <t>Count</t>
  </si>
  <si>
    <t>FP-RT</t>
  </si>
  <si>
    <t>FP+RT</t>
  </si>
  <si>
    <t>FN-RT</t>
  </si>
  <si>
    <t>FN+RT</t>
  </si>
  <si>
    <t>FPR-RT</t>
  </si>
  <si>
    <t>FPR+RT</t>
  </si>
  <si>
    <t>FNR-RT</t>
  </si>
  <si>
    <t>FNR+RT</t>
  </si>
  <si>
    <t>Prec-RT</t>
  </si>
  <si>
    <t>Prec+RT</t>
  </si>
  <si>
    <t>Rec-RT</t>
  </si>
  <si>
    <t>Rec+RT</t>
  </si>
  <si>
    <t>F1-RT</t>
  </si>
  <si>
    <t>F1+RT</t>
  </si>
  <si>
    <t>Acc-RT</t>
  </si>
  <si>
    <t>Acc+RT</t>
  </si>
  <si>
    <t>tensorflow</t>
  </si>
  <si>
    <t>LLM - gemini</t>
  </si>
  <si>
    <t>torch</t>
  </si>
  <si>
    <t>LLM - qwen</t>
  </si>
  <si>
    <t>sklearn</t>
  </si>
  <si>
    <t>LLM - gpt5</t>
  </si>
  <si>
    <t>pandas</t>
  </si>
  <si>
    <t>numpy</t>
  </si>
  <si>
    <t>Diff</t>
  </si>
  <si>
    <t>Prec</t>
  </si>
  <si>
    <t>Rec</t>
  </si>
  <si>
    <t>F1</t>
  </si>
  <si>
    <t>Acc</t>
  </si>
  <si>
    <t>other</t>
  </si>
  <si>
    <t>NBspecific</t>
  </si>
  <si>
    <t>total</t>
  </si>
  <si>
    <t>qwen 2.5 32b instruct</t>
  </si>
  <si>
    <t>H</t>
  </si>
  <si>
    <t>gpt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</si>
</sst>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wrapText="1"/>
    </xf>
    <xf numFmtId="0" fontId="0" fillId="0" borderId="3" xfId="0" applyBorder="1"/>
    <xf numFmtId="0" fontId="1" fillId="0" borderId="1" xfId="0" applyFont="1" applyBorder="1" applyAlignment="1">
      <alignment horizontal="center" vertical="top" wrapText="1"/>
    </xf>
    <xf numFmtId="0" fontId="2" fillId="0" borderId="3" xfId="0" applyFont="1" applyBorder="1"/>
    <xf numFmtId="0" fontId="0" fillId="0" borderId="2" xfId="0" applyBorder="1"/>
    <xf numFmtId="0" fontId="2" fillId="0" borderId="4" xfId="0" applyFont="1" applyBorder="1"/>
    <xf numFmtId="0" fontId="0" fillId="0" borderId="4" xfId="0" applyBorder="1"/>
    <xf numFmtId="0" fontId="0" fillId="0" borderId="5" xfId="0" applyBorder="1"/>
    <xf numFmtId="0" fontId="3" fillId="0" borderId="3" xfId="0" applyFont="1" applyBorder="1"/>
    <xf numFmtId="0" fontId="2" fillId="0" borderId="0" xfId="0" applyFont="1" applyBorder="1"/>
    <xf numFmtId="0" fontId="0" fillId="0" borderId="0" xfId="0" applyBorder="1"/>
    <xf numFmtId="0" fontId="1" fillId="0" borderId="6" xfId="0" applyFont="1" applyBorder="1" applyAlignment="1">
      <alignment horizontal="center" vertical="top" wrapText="1"/>
    </xf>
    <xf numFmtId="0" fontId="0" fillId="0" borderId="0" xfId="0" applyBorder="1" applyAlignment="1">
      <alignment wrapText="1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2" xfId="0" applyFont="1" applyBorder="1"/>
    <xf numFmtId="0" fontId="5" fillId="0" borderId="2" xfId="0" applyFont="1" applyBorder="1"/>
    <xf numFmtId="0" fontId="4" fillId="0" borderId="4" xfId="0" applyFont="1" applyBorder="1" applyAlignment="1">
      <alignment horizontal="center" vertical="center"/>
    </xf>
    <xf numFmtId="0" fontId="4" fillId="0" borderId="8" xfId="0" applyFont="1" applyBorder="1"/>
    <xf numFmtId="0" fontId="5" fillId="0" borderId="4" xfId="0" applyFont="1" applyBorder="1"/>
    <xf numFmtId="0" fontId="4" fillId="0" borderId="3" xfId="0" applyFont="1" applyBorder="1"/>
    <xf numFmtId="0" fontId="0" fillId="2" borderId="0" xfId="0" applyFill="1"/>
    <xf numFmtId="0" fontId="0" fillId="3" borderId="0" xfId="0" applyFill="1"/>
    <xf numFmtId="164" fontId="0" fillId="4" borderId="7" xfId="0" applyNumberFormat="1" applyFill="1" applyBorder="1"/>
    <xf numFmtId="164" fontId="0" fillId="4" borderId="0" xfId="0" applyNumberFormat="1" applyFill="1"/>
    <xf numFmtId="164" fontId="0" fillId="4" borderId="3" xfId="0" applyNumberFormat="1" applyFill="1" applyBorder="1"/>
    <xf numFmtId="0" fontId="0" fillId="4" borderId="0" xfId="0" applyFill="1"/>
    <xf numFmtId="164" fontId="0" fillId="0" borderId="0" xfId="0" applyNumberFormat="1"/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10" fontId="0" fillId="0" borderId="0" xfId="0" applyNumberForma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5" fillId="0" borderId="0" xfId="0" applyFont="1" applyFill="1" applyBorder="1" applyAlignment="1"/>
    <xf numFmtId="0" fontId="0" fillId="0" borderId="0" xfId="0" applyFill="1" applyBorder="1" applyAlignment="1"/>
    <xf numFmtId="164" fontId="0" fillId="0" borderId="0" xfId="0" applyNumberFormat="1" applyFill="1" applyBorder="1" applyAlignment="1"/>
    <xf numFmtId="164" fontId="4" fillId="0" borderId="0" xfId="0" applyNumberFormat="1" applyFont="1" applyFill="1" applyBorder="1" applyAlignment="1"/>
    <xf numFmtId="10" fontId="0" fillId="0" borderId="0" xfId="0" applyNumberForma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LM%20as%20a%20Judge/results_parsed_qwq32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_evaluation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56"/>
  <sheetViews>
    <sheetView workbookViewId="0">
      <pane xSplit="1" ySplit="1" topLeftCell="B248" activePane="bottomRight" state="frozen"/>
      <selection pane="bottomRight" activeCell="I247" sqref="I247"/>
      <selection pane="bottomLeft"/>
      <selection pane="topRight"/>
    </sheetView>
  </sheetViews>
  <sheetFormatPr defaultRowHeight="15"/>
  <cols>
    <col min="1" max="1" width="25.42578125" bestFit="1" customWidth="1"/>
    <col min="2" max="2" width="19" style="4" customWidth="1"/>
    <col min="3" max="3" width="24.140625" style="4" customWidth="1"/>
    <col min="4" max="4" width="22.140625" style="2" customWidth="1"/>
    <col min="5" max="5" width="26" style="2" customWidth="1"/>
    <col min="6" max="6" width="16.28515625" style="4" customWidth="1"/>
    <col min="7" max="7" width="18" style="4" customWidth="1"/>
    <col min="8" max="64" width="9.140625" style="11"/>
  </cols>
  <sheetData>
    <row r="1" spans="1:64" s="1" customFormat="1" ht="30.75" customHeight="1">
      <c r="A1" s="3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</row>
    <row r="2" spans="1:64">
      <c r="A2" t="s">
        <v>7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</row>
    <row r="3" spans="1:64">
      <c r="A3" t="s">
        <v>9</v>
      </c>
      <c r="B3" s="2" t="s">
        <v>8</v>
      </c>
      <c r="C3" s="9" t="s">
        <v>10</v>
      </c>
      <c r="D3" s="2" t="s">
        <v>8</v>
      </c>
      <c r="E3" s="2" t="s">
        <v>8</v>
      </c>
      <c r="F3" s="2" t="s">
        <v>8</v>
      </c>
      <c r="G3" s="2" t="s">
        <v>8</v>
      </c>
    </row>
    <row r="4" spans="1:64">
      <c r="A4" t="s">
        <v>11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64">
      <c r="A5" t="s">
        <v>12</v>
      </c>
      <c r="B5" s="2" t="s">
        <v>10</v>
      </c>
      <c r="C5" s="2" t="s">
        <v>10</v>
      </c>
      <c r="D5" s="2" t="s">
        <v>8</v>
      </c>
      <c r="E5" s="2" t="s">
        <v>8</v>
      </c>
      <c r="F5" s="2" t="s">
        <v>10</v>
      </c>
      <c r="G5" s="4" t="s">
        <v>10</v>
      </c>
    </row>
    <row r="6" spans="1:64">
      <c r="A6" t="s">
        <v>13</v>
      </c>
      <c r="B6" s="2" t="s">
        <v>10</v>
      </c>
      <c r="C6" s="2" t="s">
        <v>10</v>
      </c>
      <c r="D6" s="2" t="s">
        <v>8</v>
      </c>
      <c r="E6" s="2" t="s">
        <v>8</v>
      </c>
      <c r="F6" s="2" t="s">
        <v>8</v>
      </c>
      <c r="G6" s="2" t="s">
        <v>8</v>
      </c>
    </row>
    <row r="7" spans="1:64">
      <c r="A7" t="s">
        <v>14</v>
      </c>
      <c r="B7" s="2" t="s">
        <v>10</v>
      </c>
      <c r="C7" s="4" t="s">
        <v>10</v>
      </c>
      <c r="D7" s="2" t="s">
        <v>10</v>
      </c>
      <c r="E7" s="2" t="s">
        <v>8</v>
      </c>
      <c r="F7" s="2" t="s">
        <v>8</v>
      </c>
      <c r="G7" s="2" t="s">
        <v>8</v>
      </c>
    </row>
    <row r="8" spans="1:64">
      <c r="A8" t="s">
        <v>15</v>
      </c>
      <c r="B8" s="2" t="s">
        <v>8</v>
      </c>
      <c r="C8" s="9" t="s">
        <v>10</v>
      </c>
      <c r="D8" s="2" t="s">
        <v>10</v>
      </c>
      <c r="E8" s="2" t="s">
        <v>8</v>
      </c>
      <c r="F8" s="2" t="s">
        <v>8</v>
      </c>
      <c r="G8" s="2" t="s">
        <v>8</v>
      </c>
    </row>
    <row r="9" spans="1:64">
      <c r="A9" t="s">
        <v>16</v>
      </c>
      <c r="B9" s="2" t="s">
        <v>10</v>
      </c>
      <c r="C9" s="2" t="s">
        <v>10</v>
      </c>
      <c r="D9" s="2" t="s">
        <v>8</v>
      </c>
      <c r="E9" s="2" t="s">
        <v>8</v>
      </c>
      <c r="F9" s="2" t="s">
        <v>8</v>
      </c>
      <c r="G9" s="4" t="s">
        <v>8</v>
      </c>
    </row>
    <row r="10" spans="1:64">
      <c r="A10" t="s">
        <v>17</v>
      </c>
      <c r="B10" s="2" t="s">
        <v>10</v>
      </c>
      <c r="C10" s="2" t="s">
        <v>8</v>
      </c>
      <c r="D10" s="2" t="s">
        <v>10</v>
      </c>
      <c r="E10" s="2" t="s">
        <v>8</v>
      </c>
      <c r="F10" s="2" t="s">
        <v>8</v>
      </c>
      <c r="G10" s="2" t="s">
        <v>8</v>
      </c>
    </row>
    <row r="11" spans="1:64">
      <c r="A11" t="s">
        <v>18</v>
      </c>
      <c r="B11" s="2" t="s">
        <v>10</v>
      </c>
      <c r="C11" s="4" t="s">
        <v>10</v>
      </c>
      <c r="D11" s="2" t="s">
        <v>10</v>
      </c>
      <c r="E11" s="2" t="s">
        <v>8</v>
      </c>
      <c r="F11" s="2" t="s">
        <v>8</v>
      </c>
      <c r="G11" s="2" t="s">
        <v>8</v>
      </c>
    </row>
    <row r="12" spans="1:64">
      <c r="A12" t="s">
        <v>19</v>
      </c>
      <c r="B12" s="2" t="s">
        <v>10</v>
      </c>
      <c r="C12" s="2" t="s">
        <v>10</v>
      </c>
      <c r="D12" s="2" t="s">
        <v>8</v>
      </c>
      <c r="E12" s="2" t="s">
        <v>8</v>
      </c>
      <c r="F12" s="2" t="s">
        <v>8</v>
      </c>
      <c r="G12" s="2" t="s">
        <v>8</v>
      </c>
    </row>
    <row r="13" spans="1:64">
      <c r="A13" t="s">
        <v>20</v>
      </c>
      <c r="B13" s="2" t="s">
        <v>10</v>
      </c>
      <c r="C13" s="2" t="s">
        <v>10</v>
      </c>
      <c r="D13" s="2" t="s">
        <v>8</v>
      </c>
      <c r="E13" s="2" t="s">
        <v>8</v>
      </c>
      <c r="F13" s="2" t="s">
        <v>8</v>
      </c>
      <c r="G13" s="2" t="s">
        <v>8</v>
      </c>
    </row>
    <row r="14" spans="1:64">
      <c r="A14" t="s">
        <v>21</v>
      </c>
      <c r="B14" s="2" t="s">
        <v>8</v>
      </c>
      <c r="C14" s="2" t="s">
        <v>8</v>
      </c>
      <c r="D14" s="2" t="s">
        <v>8</v>
      </c>
      <c r="E14" s="2" t="s">
        <v>8</v>
      </c>
      <c r="F14" s="2" t="s">
        <v>8</v>
      </c>
      <c r="G14" s="2" t="s">
        <v>8</v>
      </c>
    </row>
    <row r="15" spans="1:64">
      <c r="A15" t="s">
        <v>22</v>
      </c>
      <c r="B15" s="2" t="s">
        <v>8</v>
      </c>
      <c r="C15" s="9" t="s">
        <v>10</v>
      </c>
      <c r="D15" s="2" t="s">
        <v>8</v>
      </c>
      <c r="E15" s="2" t="s">
        <v>8</v>
      </c>
      <c r="F15" s="2" t="s">
        <v>10</v>
      </c>
      <c r="G15" s="2" t="s">
        <v>10</v>
      </c>
    </row>
    <row r="16" spans="1:64">
      <c r="A16" t="s">
        <v>23</v>
      </c>
      <c r="B16" s="2" t="s">
        <v>10</v>
      </c>
      <c r="C16" s="2" t="s">
        <v>10</v>
      </c>
      <c r="D16" s="2" t="s">
        <v>10</v>
      </c>
      <c r="E16" s="2" t="s">
        <v>8</v>
      </c>
      <c r="F16" s="2" t="s">
        <v>10</v>
      </c>
      <c r="G16" s="2" t="s">
        <v>8</v>
      </c>
    </row>
    <row r="17" spans="1:7">
      <c r="A17" t="s">
        <v>24</v>
      </c>
      <c r="B17" s="2" t="s">
        <v>10</v>
      </c>
      <c r="C17" s="2" t="s">
        <v>10</v>
      </c>
      <c r="D17" s="2" t="s">
        <v>10</v>
      </c>
      <c r="E17" s="2" t="s">
        <v>10</v>
      </c>
      <c r="F17" s="2" t="s">
        <v>10</v>
      </c>
      <c r="G17" s="2" t="s">
        <v>10</v>
      </c>
    </row>
    <row r="18" spans="1:7">
      <c r="A18" t="s">
        <v>25</v>
      </c>
      <c r="B18" s="2" t="s">
        <v>8</v>
      </c>
      <c r="C18" s="2" t="s">
        <v>8</v>
      </c>
      <c r="D18" s="2" t="s">
        <v>8</v>
      </c>
      <c r="E18" s="2" t="s">
        <v>8</v>
      </c>
      <c r="F18" s="2" t="s">
        <v>8</v>
      </c>
      <c r="G18" s="2" t="s">
        <v>8</v>
      </c>
    </row>
    <row r="19" spans="1:7">
      <c r="A19" t="s">
        <v>26</v>
      </c>
      <c r="B19" s="2" t="s">
        <v>8</v>
      </c>
      <c r="C19" s="2" t="s">
        <v>8</v>
      </c>
      <c r="D19" s="2" t="s">
        <v>8</v>
      </c>
      <c r="E19" s="2" t="s">
        <v>8</v>
      </c>
      <c r="F19" s="2" t="s">
        <v>8</v>
      </c>
      <c r="G19" s="2" t="s">
        <v>8</v>
      </c>
    </row>
    <row r="20" spans="1:7">
      <c r="A20" t="s">
        <v>27</v>
      </c>
      <c r="B20" s="2" t="s">
        <v>8</v>
      </c>
      <c r="C20" s="2" t="s">
        <v>8</v>
      </c>
      <c r="D20" s="2" t="s">
        <v>8</v>
      </c>
      <c r="E20" s="2" t="s">
        <v>8</v>
      </c>
      <c r="F20" s="2" t="s">
        <v>8</v>
      </c>
      <c r="G20" s="2" t="s">
        <v>8</v>
      </c>
    </row>
    <row r="21" spans="1:7">
      <c r="A21" t="s">
        <v>28</v>
      </c>
      <c r="B21" s="2" t="s">
        <v>29</v>
      </c>
      <c r="C21" s="2" t="s">
        <v>29</v>
      </c>
      <c r="D21" s="2" t="s">
        <v>10</v>
      </c>
      <c r="E21" s="2" t="s">
        <v>10</v>
      </c>
      <c r="F21" s="2" t="s">
        <v>29</v>
      </c>
      <c r="G21" s="2" t="s">
        <v>10</v>
      </c>
    </row>
    <row r="22" spans="1:7">
      <c r="A22" t="s">
        <v>30</v>
      </c>
      <c r="B22" s="2" t="s">
        <v>8</v>
      </c>
      <c r="C22" s="2" t="s">
        <v>8</v>
      </c>
      <c r="D22" s="2" t="s">
        <v>8</v>
      </c>
      <c r="E22" s="2" t="s">
        <v>8</v>
      </c>
      <c r="F22" s="2" t="s">
        <v>8</v>
      </c>
      <c r="G22" s="2" t="s">
        <v>8</v>
      </c>
    </row>
    <row r="23" spans="1:7">
      <c r="A23" t="s">
        <v>31</v>
      </c>
      <c r="B23" s="2" t="s">
        <v>8</v>
      </c>
      <c r="C23" s="2" t="s">
        <v>8</v>
      </c>
      <c r="D23" s="2" t="s">
        <v>8</v>
      </c>
      <c r="E23" s="2" t="s">
        <v>8</v>
      </c>
      <c r="F23" s="2" t="s">
        <v>8</v>
      </c>
      <c r="G23" s="2" t="s">
        <v>8</v>
      </c>
    </row>
    <row r="24" spans="1:7">
      <c r="A24" t="s">
        <v>32</v>
      </c>
      <c r="B24" s="2" t="s">
        <v>8</v>
      </c>
      <c r="C24" s="2" t="s">
        <v>8</v>
      </c>
      <c r="D24" s="2" t="s">
        <v>8</v>
      </c>
      <c r="E24" s="2" t="s">
        <v>8</v>
      </c>
      <c r="F24" s="2" t="s">
        <v>8</v>
      </c>
      <c r="G24" s="4" t="s">
        <v>8</v>
      </c>
    </row>
    <row r="25" spans="1:7">
      <c r="A25" t="s">
        <v>33</v>
      </c>
      <c r="B25" s="2" t="s">
        <v>8</v>
      </c>
      <c r="C25" s="2" t="s">
        <v>8</v>
      </c>
      <c r="D25" s="2" t="s">
        <v>8</v>
      </c>
      <c r="E25" s="2" t="s">
        <v>8</v>
      </c>
      <c r="F25" s="2" t="s">
        <v>8</v>
      </c>
      <c r="G25" s="2" t="s">
        <v>8</v>
      </c>
    </row>
    <row r="26" spans="1:7">
      <c r="A26" t="s">
        <v>34</v>
      </c>
      <c r="B26" s="2" t="s">
        <v>8</v>
      </c>
      <c r="C26" s="2" t="s">
        <v>8</v>
      </c>
      <c r="D26" s="2" t="s">
        <v>8</v>
      </c>
      <c r="E26" s="2" t="s">
        <v>8</v>
      </c>
      <c r="F26" s="2" t="s">
        <v>8</v>
      </c>
      <c r="G26" s="2" t="s">
        <v>8</v>
      </c>
    </row>
    <row r="27" spans="1:7">
      <c r="A27" t="s">
        <v>35</v>
      </c>
      <c r="B27" s="2" t="s">
        <v>10</v>
      </c>
      <c r="C27" s="2" t="s">
        <v>8</v>
      </c>
      <c r="D27" s="2" t="s">
        <v>10</v>
      </c>
      <c r="E27" s="2" t="s">
        <v>8</v>
      </c>
      <c r="F27" s="2" t="s">
        <v>10</v>
      </c>
      <c r="G27" s="2" t="s">
        <v>8</v>
      </c>
    </row>
    <row r="28" spans="1:7">
      <c r="A28" t="s">
        <v>36</v>
      </c>
      <c r="B28" s="2" t="s">
        <v>8</v>
      </c>
      <c r="C28" s="2" t="s">
        <v>8</v>
      </c>
      <c r="D28" s="2" t="s">
        <v>8</v>
      </c>
      <c r="E28" s="2" t="s">
        <v>8</v>
      </c>
      <c r="F28" s="2" t="s">
        <v>8</v>
      </c>
      <c r="G28" s="2" t="s">
        <v>8</v>
      </c>
    </row>
    <row r="29" spans="1:7">
      <c r="A29" t="s">
        <v>37</v>
      </c>
      <c r="B29" s="2" t="s">
        <v>8</v>
      </c>
      <c r="C29" s="2" t="s">
        <v>8</v>
      </c>
      <c r="D29" s="2" t="s">
        <v>8</v>
      </c>
      <c r="E29" s="2" t="s">
        <v>8</v>
      </c>
      <c r="F29" s="2" t="s">
        <v>8</v>
      </c>
      <c r="G29" s="2" t="s">
        <v>8</v>
      </c>
    </row>
    <row r="30" spans="1:7">
      <c r="A30" t="s">
        <v>38</v>
      </c>
      <c r="B30" s="2" t="s">
        <v>8</v>
      </c>
      <c r="C30" s="2" t="s">
        <v>8</v>
      </c>
      <c r="D30" s="2" t="s">
        <v>8</v>
      </c>
      <c r="E30" s="9" t="s">
        <v>39</v>
      </c>
      <c r="F30" s="2" t="s">
        <v>39</v>
      </c>
      <c r="G30" s="2" t="s">
        <v>10</v>
      </c>
    </row>
    <row r="31" spans="1:7">
      <c r="A31" s="5" t="s">
        <v>40</v>
      </c>
      <c r="B31" s="7" t="s">
        <v>8</v>
      </c>
      <c r="C31" s="7" t="s">
        <v>8</v>
      </c>
      <c r="D31" s="7" t="s">
        <v>8</v>
      </c>
      <c r="E31" s="7" t="s">
        <v>8</v>
      </c>
      <c r="F31" s="7" t="s">
        <v>8</v>
      </c>
      <c r="G31" s="7" t="s">
        <v>8</v>
      </c>
    </row>
    <row r="32" spans="1:7">
      <c r="A32" t="s">
        <v>41</v>
      </c>
      <c r="B32" s="2" t="s">
        <v>10</v>
      </c>
      <c r="C32" s="2" t="s">
        <v>10</v>
      </c>
      <c r="D32" s="2" t="s">
        <v>8</v>
      </c>
      <c r="E32" s="2" t="s">
        <v>8</v>
      </c>
      <c r="F32" s="2" t="s">
        <v>10</v>
      </c>
      <c r="G32" s="4" t="s">
        <v>10</v>
      </c>
    </row>
    <row r="33" spans="1:7">
      <c r="A33" t="s">
        <v>42</v>
      </c>
      <c r="B33" s="2" t="s">
        <v>10</v>
      </c>
      <c r="C33" s="2" t="s">
        <v>8</v>
      </c>
      <c r="D33" s="2" t="s">
        <v>10</v>
      </c>
      <c r="E33" s="2" t="s">
        <v>8</v>
      </c>
      <c r="F33" s="2" t="s">
        <v>8</v>
      </c>
      <c r="G33" s="2" t="s">
        <v>8</v>
      </c>
    </row>
    <row r="34" spans="1:7">
      <c r="A34" t="s">
        <v>43</v>
      </c>
      <c r="B34" s="2" t="s">
        <v>10</v>
      </c>
      <c r="C34" s="2" t="s">
        <v>10</v>
      </c>
      <c r="D34" s="2" t="s">
        <v>10</v>
      </c>
      <c r="E34" s="2" t="s">
        <v>10</v>
      </c>
      <c r="F34" s="2" t="s">
        <v>10</v>
      </c>
      <c r="G34" s="2" t="s">
        <v>10</v>
      </c>
    </row>
    <row r="35" spans="1:7">
      <c r="A35" t="s">
        <v>44</v>
      </c>
      <c r="B35" s="2" t="s">
        <v>10</v>
      </c>
      <c r="C35" s="2" t="s">
        <v>10</v>
      </c>
      <c r="D35" s="2" t="s">
        <v>8</v>
      </c>
      <c r="E35" s="2" t="s">
        <v>8</v>
      </c>
      <c r="F35" s="2" t="s">
        <v>8</v>
      </c>
      <c r="G35" s="2" t="s">
        <v>8</v>
      </c>
    </row>
    <row r="36" spans="1:7">
      <c r="A36" t="s">
        <v>45</v>
      </c>
      <c r="B36" s="2" t="s">
        <v>8</v>
      </c>
      <c r="C36" s="9" t="s">
        <v>10</v>
      </c>
      <c r="D36" s="2" t="s">
        <v>8</v>
      </c>
      <c r="E36" s="9" t="s">
        <v>10</v>
      </c>
      <c r="F36" s="2" t="s">
        <v>10</v>
      </c>
      <c r="G36" s="2" t="s">
        <v>10</v>
      </c>
    </row>
    <row r="37" spans="1:7">
      <c r="A37" t="s">
        <v>46</v>
      </c>
      <c r="B37" s="2" t="s">
        <v>10</v>
      </c>
      <c r="C37" s="2" t="s">
        <v>10</v>
      </c>
      <c r="D37" s="2" t="s">
        <v>8</v>
      </c>
      <c r="E37" s="2" t="s">
        <v>8</v>
      </c>
      <c r="F37" s="2" t="s">
        <v>8</v>
      </c>
      <c r="G37" s="9" t="s">
        <v>10</v>
      </c>
    </row>
    <row r="38" spans="1:7">
      <c r="A38" t="s">
        <v>47</v>
      </c>
      <c r="B38" s="2" t="s">
        <v>10</v>
      </c>
      <c r="C38" s="2" t="s">
        <v>10</v>
      </c>
      <c r="D38" s="2" t="s">
        <v>8</v>
      </c>
      <c r="E38" s="2" t="s">
        <v>8</v>
      </c>
      <c r="F38" s="2" t="s">
        <v>8</v>
      </c>
      <c r="G38" s="2" t="s">
        <v>8</v>
      </c>
    </row>
    <row r="39" spans="1:7">
      <c r="A39" t="s">
        <v>48</v>
      </c>
      <c r="B39" s="2" t="s">
        <v>8</v>
      </c>
      <c r="C39" s="2" t="s">
        <v>8</v>
      </c>
      <c r="D39" s="2" t="s">
        <v>8</v>
      </c>
      <c r="E39" s="2" t="s">
        <v>8</v>
      </c>
      <c r="F39" s="2" t="s">
        <v>8</v>
      </c>
      <c r="G39" s="2" t="s">
        <v>8</v>
      </c>
    </row>
    <row r="40" spans="1:7">
      <c r="A40" t="s">
        <v>49</v>
      </c>
      <c r="B40" s="2" t="s">
        <v>8</v>
      </c>
      <c r="C40" s="2" t="s">
        <v>8</v>
      </c>
      <c r="D40" s="2" t="s">
        <v>8</v>
      </c>
      <c r="E40" s="2" t="s">
        <v>8</v>
      </c>
      <c r="F40" s="2" t="s">
        <v>8</v>
      </c>
      <c r="G40" s="2" t="s">
        <v>8</v>
      </c>
    </row>
    <row r="41" spans="1:7">
      <c r="A41" t="s">
        <v>50</v>
      </c>
      <c r="B41" s="2" t="s">
        <v>8</v>
      </c>
      <c r="C41" s="4" t="s">
        <v>8</v>
      </c>
      <c r="D41" s="2" t="s">
        <v>8</v>
      </c>
      <c r="E41" s="2" t="s">
        <v>8</v>
      </c>
      <c r="F41" s="2" t="s">
        <v>8</v>
      </c>
      <c r="G41" s="2" t="s">
        <v>8</v>
      </c>
    </row>
    <row r="42" spans="1:7">
      <c r="A42" t="s">
        <v>51</v>
      </c>
      <c r="B42" s="2" t="s">
        <v>10</v>
      </c>
      <c r="C42" s="2" t="s">
        <v>10</v>
      </c>
      <c r="D42" s="2" t="s">
        <v>10</v>
      </c>
      <c r="E42" s="2" t="s">
        <v>10</v>
      </c>
      <c r="F42" s="2" t="s">
        <v>8</v>
      </c>
      <c r="G42" s="2" t="s">
        <v>8</v>
      </c>
    </row>
    <row r="43" spans="1:7">
      <c r="A43" t="s">
        <v>52</v>
      </c>
      <c r="B43" s="2" t="s">
        <v>8</v>
      </c>
      <c r="C43" s="2" t="s">
        <v>8</v>
      </c>
      <c r="D43" s="2" t="s">
        <v>8</v>
      </c>
      <c r="E43" s="2" t="s">
        <v>8</v>
      </c>
      <c r="F43" s="2" t="s">
        <v>8</v>
      </c>
      <c r="G43" s="9" t="s">
        <v>10</v>
      </c>
    </row>
    <row r="44" spans="1:7">
      <c r="A44" t="s">
        <v>53</v>
      </c>
      <c r="B44" s="2" t="s">
        <v>10</v>
      </c>
      <c r="C44" s="2" t="s">
        <v>10</v>
      </c>
      <c r="D44" s="2" t="s">
        <v>8</v>
      </c>
      <c r="E44" s="2" t="s">
        <v>8</v>
      </c>
      <c r="F44" s="2" t="s">
        <v>8</v>
      </c>
      <c r="G44" s="2" t="s">
        <v>8</v>
      </c>
    </row>
    <row r="45" spans="1:7">
      <c r="A45" t="s">
        <v>54</v>
      </c>
      <c r="B45" s="2" t="s">
        <v>10</v>
      </c>
      <c r="C45" s="2" t="s">
        <v>10</v>
      </c>
      <c r="D45" s="2" t="s">
        <v>10</v>
      </c>
      <c r="E45" s="2" t="s">
        <v>10</v>
      </c>
      <c r="F45" s="2" t="s">
        <v>8</v>
      </c>
      <c r="G45" s="4" t="s">
        <v>8</v>
      </c>
    </row>
    <row r="46" spans="1:7">
      <c r="A46" t="s">
        <v>55</v>
      </c>
      <c r="B46" s="2" t="s">
        <v>10</v>
      </c>
      <c r="C46" s="2" t="s">
        <v>10</v>
      </c>
      <c r="D46" s="2" t="s">
        <v>10</v>
      </c>
      <c r="E46" s="2" t="s">
        <v>10</v>
      </c>
      <c r="F46" s="2" t="s">
        <v>8</v>
      </c>
      <c r="G46" s="2" t="s">
        <v>8</v>
      </c>
    </row>
    <row r="47" spans="1:7">
      <c r="A47" t="s">
        <v>56</v>
      </c>
      <c r="B47" s="2" t="s">
        <v>29</v>
      </c>
      <c r="C47" s="2" t="s">
        <v>29</v>
      </c>
      <c r="D47" s="2" t="s">
        <v>29</v>
      </c>
      <c r="E47" s="2" t="s">
        <v>10</v>
      </c>
      <c r="F47" s="2" t="s">
        <v>29</v>
      </c>
      <c r="G47" s="2" t="s">
        <v>29</v>
      </c>
    </row>
    <row r="48" spans="1:7">
      <c r="A48" t="s">
        <v>57</v>
      </c>
      <c r="B48" s="2" t="s">
        <v>10</v>
      </c>
      <c r="C48" s="2" t="s">
        <v>10</v>
      </c>
      <c r="D48" s="2" t="s">
        <v>10</v>
      </c>
      <c r="E48" s="2" t="s">
        <v>29</v>
      </c>
      <c r="F48" s="2" t="s">
        <v>10</v>
      </c>
      <c r="G48" s="2" t="s">
        <v>10</v>
      </c>
    </row>
    <row r="49" spans="1:7">
      <c r="A49" t="s">
        <v>58</v>
      </c>
      <c r="B49" s="2" t="s">
        <v>29</v>
      </c>
      <c r="C49" s="2" t="s">
        <v>29</v>
      </c>
      <c r="D49" s="2" t="s">
        <v>29</v>
      </c>
      <c r="E49" s="2" t="s">
        <v>29</v>
      </c>
      <c r="F49" s="2" t="s">
        <v>29</v>
      </c>
      <c r="G49" s="2" t="s">
        <v>29</v>
      </c>
    </row>
    <row r="50" spans="1:7">
      <c r="A50" t="s">
        <v>59</v>
      </c>
      <c r="B50" s="2" t="s">
        <v>29</v>
      </c>
      <c r="C50" s="2" t="s">
        <v>10</v>
      </c>
      <c r="D50" s="2" t="s">
        <v>10</v>
      </c>
      <c r="E50" s="2" t="s">
        <v>10</v>
      </c>
      <c r="F50" s="2" t="s">
        <v>10</v>
      </c>
      <c r="G50" s="2" t="s">
        <v>8</v>
      </c>
    </row>
    <row r="51" spans="1:7">
      <c r="A51" t="s">
        <v>60</v>
      </c>
      <c r="B51" s="2" t="s">
        <v>8</v>
      </c>
      <c r="C51" s="9" t="s">
        <v>29</v>
      </c>
      <c r="D51" s="2" t="s">
        <v>29</v>
      </c>
      <c r="E51" s="2" t="s">
        <v>29</v>
      </c>
      <c r="F51" s="2" t="s">
        <v>39</v>
      </c>
      <c r="G51" s="2" t="s">
        <v>39</v>
      </c>
    </row>
    <row r="52" spans="1:7">
      <c r="A52" t="s">
        <v>61</v>
      </c>
      <c r="B52" s="2" t="s">
        <v>10</v>
      </c>
      <c r="C52" s="2" t="s">
        <v>29</v>
      </c>
      <c r="D52" s="2" t="s">
        <v>10</v>
      </c>
      <c r="E52" s="2" t="s">
        <v>10</v>
      </c>
      <c r="F52" s="2" t="s">
        <v>8</v>
      </c>
      <c r="G52" s="2" t="s">
        <v>8</v>
      </c>
    </row>
    <row r="53" spans="1:7">
      <c r="A53" t="s">
        <v>62</v>
      </c>
      <c r="B53" s="2" t="s">
        <v>8</v>
      </c>
      <c r="C53" s="2" t="s">
        <v>8</v>
      </c>
      <c r="D53" s="2" t="s">
        <v>10</v>
      </c>
      <c r="E53" s="2" t="s">
        <v>10</v>
      </c>
      <c r="F53" s="2" t="s">
        <v>8</v>
      </c>
      <c r="G53" s="4" t="s">
        <v>8</v>
      </c>
    </row>
    <row r="54" spans="1:7">
      <c r="A54" t="s">
        <v>63</v>
      </c>
      <c r="B54" s="2" t="s">
        <v>29</v>
      </c>
      <c r="C54" s="2" t="s">
        <v>29</v>
      </c>
      <c r="D54" s="2" t="s">
        <v>10</v>
      </c>
      <c r="E54" s="2" t="s">
        <v>10</v>
      </c>
      <c r="F54" s="2" t="s">
        <v>29</v>
      </c>
      <c r="G54" s="2" t="s">
        <v>8</v>
      </c>
    </row>
    <row r="55" spans="1:7">
      <c r="A55" t="s">
        <v>64</v>
      </c>
      <c r="B55" s="2" t="s">
        <v>10</v>
      </c>
      <c r="C55" s="2" t="s">
        <v>8</v>
      </c>
      <c r="D55" s="2" t="s">
        <v>10</v>
      </c>
      <c r="E55" s="2" t="s">
        <v>8</v>
      </c>
      <c r="F55" s="2" t="s">
        <v>10</v>
      </c>
      <c r="G55" s="2" t="s">
        <v>8</v>
      </c>
    </row>
    <row r="56" spans="1:7">
      <c r="A56" t="s">
        <v>65</v>
      </c>
      <c r="B56" s="2" t="s">
        <v>8</v>
      </c>
      <c r="C56" s="2" t="s">
        <v>8</v>
      </c>
      <c r="D56" s="2" t="s">
        <v>8</v>
      </c>
      <c r="E56" s="9" t="s">
        <v>10</v>
      </c>
      <c r="F56" s="2" t="s">
        <v>8</v>
      </c>
      <c r="G56" s="2" t="s">
        <v>8</v>
      </c>
    </row>
    <row r="57" spans="1:7">
      <c r="A57" t="s">
        <v>66</v>
      </c>
      <c r="B57" s="2" t="s">
        <v>29</v>
      </c>
      <c r="C57" s="2" t="s">
        <v>8</v>
      </c>
      <c r="D57" s="2" t="s">
        <v>10</v>
      </c>
      <c r="E57" s="2" t="s">
        <v>8</v>
      </c>
      <c r="F57" s="2" t="s">
        <v>29</v>
      </c>
      <c r="G57" s="2" t="s">
        <v>8</v>
      </c>
    </row>
    <row r="58" spans="1:7">
      <c r="A58" t="s">
        <v>67</v>
      </c>
      <c r="B58" s="2" t="s">
        <v>10</v>
      </c>
      <c r="C58" s="2" t="s">
        <v>8</v>
      </c>
      <c r="D58" s="2" t="s">
        <v>10</v>
      </c>
      <c r="E58" s="2" t="s">
        <v>8</v>
      </c>
      <c r="F58" s="2" t="s">
        <v>8</v>
      </c>
      <c r="G58" s="2" t="s">
        <v>8</v>
      </c>
    </row>
    <row r="59" spans="1:7">
      <c r="A59" t="s">
        <v>68</v>
      </c>
      <c r="B59" s="2" t="s">
        <v>8</v>
      </c>
      <c r="C59" s="9" t="s">
        <v>29</v>
      </c>
      <c r="D59" s="2" t="s">
        <v>10</v>
      </c>
      <c r="E59" s="2" t="s">
        <v>10</v>
      </c>
      <c r="F59" s="2" t="s">
        <v>10</v>
      </c>
      <c r="G59" s="2" t="s">
        <v>10</v>
      </c>
    </row>
    <row r="60" spans="1:7">
      <c r="A60" t="s">
        <v>69</v>
      </c>
      <c r="B60" s="2" t="s">
        <v>29</v>
      </c>
      <c r="C60" s="2" t="s">
        <v>29</v>
      </c>
      <c r="D60" s="2" t="s">
        <v>29</v>
      </c>
      <c r="E60" s="2" t="s">
        <v>29</v>
      </c>
      <c r="F60" s="2" t="s">
        <v>39</v>
      </c>
      <c r="G60" s="2" t="s">
        <v>10</v>
      </c>
    </row>
    <row r="61" spans="1:7">
      <c r="A61" s="5" t="s">
        <v>70</v>
      </c>
      <c r="B61" s="7" t="s">
        <v>8</v>
      </c>
      <c r="C61" s="7" t="s">
        <v>8</v>
      </c>
      <c r="D61" s="7" t="s">
        <v>29</v>
      </c>
      <c r="E61" s="7" t="s">
        <v>29</v>
      </c>
      <c r="F61" s="7" t="s">
        <v>10</v>
      </c>
      <c r="G61" s="7" t="s">
        <v>8</v>
      </c>
    </row>
    <row r="62" spans="1:7">
      <c r="A62" t="s">
        <v>71</v>
      </c>
      <c r="B62" s="4" t="s">
        <v>10</v>
      </c>
      <c r="C62" s="4" t="s">
        <v>10</v>
      </c>
      <c r="D62" s="4" t="s">
        <v>10</v>
      </c>
      <c r="E62" s="4" t="s">
        <v>8</v>
      </c>
      <c r="F62" s="4" t="s">
        <v>8</v>
      </c>
      <c r="G62" s="4" t="s">
        <v>8</v>
      </c>
    </row>
    <row r="63" spans="1:7">
      <c r="A63" t="s">
        <v>72</v>
      </c>
      <c r="B63" s="4" t="s">
        <v>10</v>
      </c>
      <c r="C63" s="4" t="s">
        <v>8</v>
      </c>
      <c r="D63" s="4" t="s">
        <v>8</v>
      </c>
      <c r="E63" s="4" t="s">
        <v>8</v>
      </c>
      <c r="F63" s="4" t="s">
        <v>10</v>
      </c>
      <c r="G63" s="4" t="s">
        <v>8</v>
      </c>
    </row>
    <row r="64" spans="1:7">
      <c r="A64" t="s">
        <v>73</v>
      </c>
      <c r="B64" s="4" t="s">
        <v>8</v>
      </c>
      <c r="C64" s="9" t="s">
        <v>10</v>
      </c>
      <c r="D64" s="4" t="s">
        <v>8</v>
      </c>
      <c r="E64" s="9" t="s">
        <v>10</v>
      </c>
      <c r="F64" s="4" t="s">
        <v>8</v>
      </c>
      <c r="G64" s="9" t="s">
        <v>10</v>
      </c>
    </row>
    <row r="65" spans="1:7">
      <c r="A65" t="s">
        <v>74</v>
      </c>
      <c r="B65" s="4" t="s">
        <v>10</v>
      </c>
      <c r="C65" s="4" t="s">
        <v>8</v>
      </c>
      <c r="D65" s="4" t="s">
        <v>8</v>
      </c>
      <c r="E65" s="4" t="s">
        <v>8</v>
      </c>
      <c r="F65" s="4" t="s">
        <v>8</v>
      </c>
      <c r="G65" s="4" t="s">
        <v>8</v>
      </c>
    </row>
    <row r="66" spans="1:7">
      <c r="A66" t="s">
        <v>75</v>
      </c>
      <c r="B66" s="4" t="s">
        <v>8</v>
      </c>
      <c r="C66" s="4" t="s">
        <v>8</v>
      </c>
      <c r="D66" s="4" t="s">
        <v>8</v>
      </c>
      <c r="E66" s="4" t="s">
        <v>8</v>
      </c>
      <c r="F66" s="4" t="s">
        <v>8</v>
      </c>
      <c r="G66" s="4" t="s">
        <v>8</v>
      </c>
    </row>
    <row r="67" spans="1:7">
      <c r="A67" t="s">
        <v>76</v>
      </c>
      <c r="B67" s="4" t="s">
        <v>10</v>
      </c>
      <c r="C67" s="4" t="s">
        <v>8</v>
      </c>
      <c r="D67" s="4" t="s">
        <v>10</v>
      </c>
      <c r="E67" s="4" t="s">
        <v>8</v>
      </c>
      <c r="F67" s="4" t="s">
        <v>8</v>
      </c>
      <c r="G67" s="4" t="s">
        <v>8</v>
      </c>
    </row>
    <row r="68" spans="1:7">
      <c r="A68" t="s">
        <v>77</v>
      </c>
      <c r="B68" s="4" t="s">
        <v>8</v>
      </c>
      <c r="C68" s="9" t="s">
        <v>10</v>
      </c>
      <c r="D68" s="4" t="s">
        <v>8</v>
      </c>
      <c r="E68" s="4" t="s">
        <v>8</v>
      </c>
      <c r="F68" s="4" t="s">
        <v>8</v>
      </c>
      <c r="G68" s="9" t="s">
        <v>10</v>
      </c>
    </row>
    <row r="69" spans="1:7">
      <c r="A69" t="s">
        <v>78</v>
      </c>
      <c r="B69" s="4" t="s">
        <v>8</v>
      </c>
      <c r="C69" s="4" t="s">
        <v>8</v>
      </c>
      <c r="D69" s="4" t="s">
        <v>8</v>
      </c>
      <c r="E69" s="4" t="s">
        <v>8</v>
      </c>
      <c r="F69" s="4" t="s">
        <v>8</v>
      </c>
      <c r="G69" s="4" t="s">
        <v>8</v>
      </c>
    </row>
    <row r="70" spans="1:7">
      <c r="A70" t="s">
        <v>79</v>
      </c>
      <c r="B70" s="4" t="s">
        <v>8</v>
      </c>
      <c r="C70" s="4" t="s">
        <v>8</v>
      </c>
      <c r="D70" s="4" t="s">
        <v>8</v>
      </c>
      <c r="E70" s="4" t="s">
        <v>8</v>
      </c>
      <c r="F70" s="4" t="s">
        <v>8</v>
      </c>
      <c r="G70" s="4" t="s">
        <v>8</v>
      </c>
    </row>
    <row r="71" spans="1:7">
      <c r="A71" t="s">
        <v>80</v>
      </c>
      <c r="B71" s="4" t="s">
        <v>10</v>
      </c>
      <c r="C71" s="4" t="s">
        <v>10</v>
      </c>
      <c r="D71" s="4" t="s">
        <v>8</v>
      </c>
      <c r="E71" s="4" t="s">
        <v>8</v>
      </c>
      <c r="F71" s="4" t="s">
        <v>10</v>
      </c>
      <c r="G71" s="4" t="s">
        <v>10</v>
      </c>
    </row>
    <row r="72" spans="1:7">
      <c r="A72" t="s">
        <v>81</v>
      </c>
      <c r="B72" s="4" t="s">
        <v>8</v>
      </c>
      <c r="C72" s="4" t="s">
        <v>8</v>
      </c>
      <c r="D72" s="4" t="s">
        <v>8</v>
      </c>
      <c r="E72" s="4" t="s">
        <v>8</v>
      </c>
      <c r="F72" s="4" t="s">
        <v>8</v>
      </c>
      <c r="G72" s="4" t="s">
        <v>8</v>
      </c>
    </row>
    <row r="73" spans="1:7">
      <c r="A73" t="s">
        <v>82</v>
      </c>
      <c r="B73" s="4" t="s">
        <v>8</v>
      </c>
      <c r="C73" s="4" t="s">
        <v>8</v>
      </c>
      <c r="D73" s="4" t="s">
        <v>8</v>
      </c>
      <c r="E73" s="4" t="s">
        <v>8</v>
      </c>
      <c r="F73" s="4" t="s">
        <v>8</v>
      </c>
      <c r="G73" s="4" t="s">
        <v>8</v>
      </c>
    </row>
    <row r="74" spans="1:7">
      <c r="A74" t="s">
        <v>83</v>
      </c>
      <c r="B74" s="4" t="s">
        <v>8</v>
      </c>
      <c r="C74" s="4" t="s">
        <v>8</v>
      </c>
      <c r="D74" s="4" t="s">
        <v>8</v>
      </c>
      <c r="E74" s="4" t="s">
        <v>8</v>
      </c>
      <c r="F74" s="4" t="s">
        <v>8</v>
      </c>
      <c r="G74" s="4" t="s">
        <v>8</v>
      </c>
    </row>
    <row r="75" spans="1:7">
      <c r="A75" t="s">
        <v>84</v>
      </c>
      <c r="B75" s="4" t="s">
        <v>8</v>
      </c>
      <c r="C75" s="4" t="s">
        <v>8</v>
      </c>
      <c r="D75" s="4" t="s">
        <v>8</v>
      </c>
      <c r="E75" s="4" t="s">
        <v>8</v>
      </c>
      <c r="F75" s="4" t="s">
        <v>8</v>
      </c>
      <c r="G75" s="4" t="s">
        <v>8</v>
      </c>
    </row>
    <row r="76" spans="1:7">
      <c r="A76" t="s">
        <v>85</v>
      </c>
      <c r="B76" s="4" t="s">
        <v>8</v>
      </c>
      <c r="C76" s="4" t="s">
        <v>8</v>
      </c>
      <c r="D76" s="4" t="s">
        <v>8</v>
      </c>
      <c r="E76" s="4" t="s">
        <v>8</v>
      </c>
      <c r="F76" s="4" t="s">
        <v>8</v>
      </c>
      <c r="G76" s="4" t="s">
        <v>8</v>
      </c>
    </row>
    <row r="77" spans="1:7">
      <c r="A77" t="s">
        <v>86</v>
      </c>
      <c r="B77" s="4" t="s">
        <v>29</v>
      </c>
      <c r="C77" s="4" t="s">
        <v>29</v>
      </c>
      <c r="D77" s="4" t="s">
        <v>29</v>
      </c>
      <c r="E77" s="4" t="s">
        <v>10</v>
      </c>
      <c r="F77" s="4" t="s">
        <v>8</v>
      </c>
      <c r="G77" s="4" t="s">
        <v>8</v>
      </c>
    </row>
    <row r="78" spans="1:7">
      <c r="A78" t="s">
        <v>87</v>
      </c>
      <c r="B78" s="4" t="s">
        <v>8</v>
      </c>
      <c r="C78" s="4" t="s">
        <v>8</v>
      </c>
      <c r="D78" s="4" t="s">
        <v>8</v>
      </c>
      <c r="E78" s="4" t="s">
        <v>8</v>
      </c>
      <c r="F78" s="4" t="s">
        <v>8</v>
      </c>
      <c r="G78" s="4" t="s">
        <v>8</v>
      </c>
    </row>
    <row r="79" spans="1:7">
      <c r="A79" t="s">
        <v>88</v>
      </c>
      <c r="B79" s="4" t="s">
        <v>10</v>
      </c>
      <c r="C79" s="4" t="s">
        <v>29</v>
      </c>
      <c r="D79" s="4" t="s">
        <v>29</v>
      </c>
      <c r="E79" s="4" t="s">
        <v>29</v>
      </c>
      <c r="F79" s="4" t="s">
        <v>8</v>
      </c>
      <c r="G79" s="9" t="s">
        <v>10</v>
      </c>
    </row>
    <row r="80" spans="1:7">
      <c r="A80" t="s">
        <v>89</v>
      </c>
      <c r="B80" s="4" t="s">
        <v>8</v>
      </c>
      <c r="C80" s="4" t="s">
        <v>8</v>
      </c>
      <c r="D80" s="4" t="s">
        <v>10</v>
      </c>
      <c r="E80" s="4" t="s">
        <v>8</v>
      </c>
      <c r="F80" s="4" t="s">
        <v>8</v>
      </c>
      <c r="G80" s="4" t="s">
        <v>8</v>
      </c>
    </row>
    <row r="81" spans="1:7">
      <c r="A81" t="s">
        <v>90</v>
      </c>
      <c r="B81" s="4" t="s">
        <v>10</v>
      </c>
      <c r="C81" s="4" t="s">
        <v>8</v>
      </c>
      <c r="D81" s="4" t="s">
        <v>8</v>
      </c>
      <c r="E81" s="4" t="s">
        <v>8</v>
      </c>
      <c r="F81" s="4" t="s">
        <v>8</v>
      </c>
      <c r="G81" s="4" t="s">
        <v>8</v>
      </c>
    </row>
    <row r="82" spans="1:7">
      <c r="A82" t="s">
        <v>91</v>
      </c>
      <c r="B82" s="4" t="s">
        <v>8</v>
      </c>
      <c r="C82" s="4" t="s">
        <v>8</v>
      </c>
      <c r="D82" s="4" t="s">
        <v>10</v>
      </c>
      <c r="E82" s="4" t="s">
        <v>10</v>
      </c>
      <c r="F82" s="4" t="s">
        <v>10</v>
      </c>
      <c r="G82" s="4" t="s">
        <v>8</v>
      </c>
    </row>
    <row r="83" spans="1:7">
      <c r="A83" t="s">
        <v>92</v>
      </c>
      <c r="B83" s="4" t="s">
        <v>10</v>
      </c>
      <c r="C83" s="4" t="s">
        <v>8</v>
      </c>
      <c r="D83" s="4" t="s">
        <v>10</v>
      </c>
      <c r="E83" s="4" t="s">
        <v>10</v>
      </c>
      <c r="F83" s="4" t="s">
        <v>10</v>
      </c>
      <c r="G83" s="4" t="s">
        <v>8</v>
      </c>
    </row>
    <row r="84" spans="1:7">
      <c r="A84" t="s">
        <v>93</v>
      </c>
      <c r="B84" s="4" t="s">
        <v>8</v>
      </c>
      <c r="C84" s="4" t="s">
        <v>8</v>
      </c>
      <c r="D84" s="4" t="s">
        <v>8</v>
      </c>
      <c r="E84" s="4" t="s">
        <v>8</v>
      </c>
      <c r="F84" s="4" t="s">
        <v>8</v>
      </c>
      <c r="G84" s="4" t="s">
        <v>8</v>
      </c>
    </row>
    <row r="85" spans="1:7">
      <c r="A85" t="s">
        <v>94</v>
      </c>
      <c r="B85" s="4" t="s">
        <v>29</v>
      </c>
      <c r="C85" s="4" t="s">
        <v>8</v>
      </c>
      <c r="D85" s="4" t="s">
        <v>8</v>
      </c>
      <c r="E85" s="4" t="s">
        <v>8</v>
      </c>
      <c r="F85" s="4" t="s">
        <v>8</v>
      </c>
      <c r="G85" s="4" t="s">
        <v>8</v>
      </c>
    </row>
    <row r="86" spans="1:7">
      <c r="A86" t="s">
        <v>95</v>
      </c>
      <c r="B86" s="4" t="s">
        <v>8</v>
      </c>
      <c r="C86" s="4" t="s">
        <v>8</v>
      </c>
      <c r="D86" s="4" t="s">
        <v>10</v>
      </c>
      <c r="E86" s="4" t="s">
        <v>10</v>
      </c>
      <c r="F86" s="4" t="s">
        <v>8</v>
      </c>
      <c r="G86" s="4" t="s">
        <v>8</v>
      </c>
    </row>
    <row r="87" spans="1:7">
      <c r="A87" t="s">
        <v>96</v>
      </c>
      <c r="B87" s="4" t="s">
        <v>10</v>
      </c>
      <c r="C87" s="4" t="s">
        <v>8</v>
      </c>
      <c r="D87" s="4" t="s">
        <v>10</v>
      </c>
      <c r="E87" s="4" t="s">
        <v>8</v>
      </c>
      <c r="F87" s="4" t="s">
        <v>10</v>
      </c>
      <c r="G87" s="4" t="s">
        <v>8</v>
      </c>
    </row>
    <row r="88" spans="1:7">
      <c r="A88" t="s">
        <v>97</v>
      </c>
      <c r="B88" s="4" t="s">
        <v>8</v>
      </c>
      <c r="C88" s="4" t="s">
        <v>8</v>
      </c>
      <c r="D88" s="4" t="s">
        <v>8</v>
      </c>
      <c r="E88" s="4" t="s">
        <v>8</v>
      </c>
      <c r="F88" s="4" t="s">
        <v>8</v>
      </c>
      <c r="G88" s="4" t="s">
        <v>8</v>
      </c>
    </row>
    <row r="89" spans="1:7">
      <c r="A89" t="s">
        <v>98</v>
      </c>
      <c r="B89" s="4" t="s">
        <v>10</v>
      </c>
      <c r="C89" s="4" t="s">
        <v>8</v>
      </c>
      <c r="D89" s="4" t="s">
        <v>8</v>
      </c>
      <c r="E89" s="4" t="s">
        <v>8</v>
      </c>
      <c r="F89" s="4" t="s">
        <v>8</v>
      </c>
      <c r="G89" s="4" t="s">
        <v>8</v>
      </c>
    </row>
    <row r="90" spans="1:7">
      <c r="A90" t="s">
        <v>99</v>
      </c>
      <c r="B90" s="4" t="s">
        <v>8</v>
      </c>
      <c r="C90" s="4" t="s">
        <v>8</v>
      </c>
      <c r="D90" s="4" t="s">
        <v>10</v>
      </c>
      <c r="E90" s="4" t="s">
        <v>8</v>
      </c>
      <c r="F90" s="4" t="s">
        <v>8</v>
      </c>
      <c r="G90" s="4" t="s">
        <v>8</v>
      </c>
    </row>
    <row r="91" spans="1:7">
      <c r="A91" s="5" t="s">
        <v>100</v>
      </c>
      <c r="B91" s="6" t="s">
        <v>8</v>
      </c>
      <c r="C91" s="6" t="s">
        <v>8</v>
      </c>
      <c r="D91" s="6" t="s">
        <v>8</v>
      </c>
      <c r="E91" s="6" t="s">
        <v>8</v>
      </c>
      <c r="F91" s="6" t="s">
        <v>29</v>
      </c>
      <c r="G91" s="6" t="s">
        <v>8</v>
      </c>
    </row>
    <row r="92" spans="1:7">
      <c r="A92" t="s">
        <v>101</v>
      </c>
      <c r="B92" s="4" t="s">
        <v>10</v>
      </c>
      <c r="C92" s="4" t="s">
        <v>10</v>
      </c>
      <c r="D92" s="2" t="s">
        <v>10</v>
      </c>
      <c r="E92" s="2" t="s">
        <v>8</v>
      </c>
      <c r="F92" s="4" t="s">
        <v>8</v>
      </c>
      <c r="G92" s="4" t="s">
        <v>8</v>
      </c>
    </row>
    <row r="93" spans="1:7">
      <c r="A93" t="s">
        <v>102</v>
      </c>
      <c r="B93" s="4" t="s">
        <v>8</v>
      </c>
      <c r="C93" s="4" t="s">
        <v>8</v>
      </c>
      <c r="D93" s="4" t="s">
        <v>8</v>
      </c>
      <c r="E93" s="2" t="s">
        <v>8</v>
      </c>
      <c r="F93" s="4" t="s">
        <v>8</v>
      </c>
      <c r="G93" s="4" t="s">
        <v>8</v>
      </c>
    </row>
    <row r="94" spans="1:7">
      <c r="A94" t="s">
        <v>103</v>
      </c>
      <c r="B94" s="4" t="s">
        <v>10</v>
      </c>
      <c r="C94" s="4" t="s">
        <v>8</v>
      </c>
      <c r="D94" s="2" t="s">
        <v>8</v>
      </c>
      <c r="E94" s="2" t="s">
        <v>8</v>
      </c>
      <c r="F94" s="4" t="s">
        <v>10</v>
      </c>
      <c r="G94" s="4" t="s">
        <v>8</v>
      </c>
    </row>
    <row r="95" spans="1:7">
      <c r="A95" t="s">
        <v>104</v>
      </c>
      <c r="B95" s="4" t="s">
        <v>10</v>
      </c>
      <c r="C95" s="4" t="s">
        <v>8</v>
      </c>
      <c r="D95" s="2" t="s">
        <v>8</v>
      </c>
      <c r="E95" s="2" t="s">
        <v>8</v>
      </c>
      <c r="F95" s="4" t="s">
        <v>8</v>
      </c>
      <c r="G95" s="4" t="s">
        <v>8</v>
      </c>
    </row>
    <row r="96" spans="1:7">
      <c r="A96" t="s">
        <v>105</v>
      </c>
      <c r="B96" s="4" t="s">
        <v>10</v>
      </c>
      <c r="C96" s="4" t="s">
        <v>8</v>
      </c>
      <c r="D96" s="2" t="s">
        <v>10</v>
      </c>
      <c r="E96" s="2" t="s">
        <v>10</v>
      </c>
      <c r="F96" s="4" t="s">
        <v>10</v>
      </c>
      <c r="G96" s="4" t="s">
        <v>8</v>
      </c>
    </row>
    <row r="97" spans="1:7">
      <c r="A97" t="s">
        <v>106</v>
      </c>
      <c r="B97" s="4" t="s">
        <v>8</v>
      </c>
      <c r="C97" s="4" t="s">
        <v>8</v>
      </c>
      <c r="D97" s="2" t="s">
        <v>8</v>
      </c>
      <c r="E97" s="2" t="s">
        <v>8</v>
      </c>
      <c r="F97" s="4" t="s">
        <v>8</v>
      </c>
      <c r="G97" s="4" t="s">
        <v>8</v>
      </c>
    </row>
    <row r="98" spans="1:7">
      <c r="A98" t="s">
        <v>107</v>
      </c>
      <c r="B98" s="4" t="s">
        <v>8</v>
      </c>
      <c r="C98" s="4" t="s">
        <v>8</v>
      </c>
      <c r="D98" s="4" t="s">
        <v>8</v>
      </c>
      <c r="E98" s="2" t="s">
        <v>8</v>
      </c>
      <c r="F98" s="4" t="s">
        <v>8</v>
      </c>
      <c r="G98" s="4" t="s">
        <v>8</v>
      </c>
    </row>
    <row r="99" spans="1:7">
      <c r="A99" t="s">
        <v>108</v>
      </c>
      <c r="B99" s="4" t="s">
        <v>8</v>
      </c>
      <c r="C99" s="4" t="s">
        <v>8</v>
      </c>
      <c r="D99" s="2" t="s">
        <v>8</v>
      </c>
      <c r="E99" s="2" t="s">
        <v>8</v>
      </c>
      <c r="F99" s="4" t="s">
        <v>8</v>
      </c>
      <c r="G99" s="4" t="s">
        <v>8</v>
      </c>
    </row>
    <row r="100" spans="1:7">
      <c r="A100" t="s">
        <v>109</v>
      </c>
      <c r="B100" s="4" t="s">
        <v>8</v>
      </c>
      <c r="C100" s="4" t="s">
        <v>8</v>
      </c>
      <c r="D100" s="2" t="s">
        <v>10</v>
      </c>
      <c r="E100" s="2" t="s">
        <v>8</v>
      </c>
      <c r="F100" s="4" t="s">
        <v>8</v>
      </c>
      <c r="G100" s="4" t="s">
        <v>8</v>
      </c>
    </row>
    <row r="101" spans="1:7">
      <c r="A101" t="s">
        <v>110</v>
      </c>
      <c r="B101" s="4" t="s">
        <v>8</v>
      </c>
      <c r="C101" s="4" t="s">
        <v>8</v>
      </c>
      <c r="D101" s="2" t="s">
        <v>8</v>
      </c>
      <c r="E101" s="2" t="s">
        <v>8</v>
      </c>
      <c r="F101" s="4" t="s">
        <v>10</v>
      </c>
      <c r="G101" s="4" t="s">
        <v>10</v>
      </c>
    </row>
    <row r="102" spans="1:7">
      <c r="A102" t="s">
        <v>111</v>
      </c>
      <c r="B102" s="4" t="s">
        <v>8</v>
      </c>
      <c r="C102" s="9" t="s">
        <v>10</v>
      </c>
      <c r="D102" s="2" t="s">
        <v>10</v>
      </c>
      <c r="E102" s="4" t="s">
        <v>8</v>
      </c>
      <c r="F102" s="4" t="s">
        <v>10</v>
      </c>
      <c r="G102" s="4" t="s">
        <v>8</v>
      </c>
    </row>
    <row r="103" spans="1:7">
      <c r="A103" t="s">
        <v>112</v>
      </c>
      <c r="B103" s="4" t="s">
        <v>10</v>
      </c>
      <c r="C103" s="4" t="s">
        <v>8</v>
      </c>
      <c r="D103" s="2" t="s">
        <v>8</v>
      </c>
      <c r="E103" s="2" t="s">
        <v>8</v>
      </c>
      <c r="F103" s="4" t="s">
        <v>8</v>
      </c>
      <c r="G103" s="4" t="s">
        <v>8</v>
      </c>
    </row>
    <row r="104" spans="1:7">
      <c r="A104" t="s">
        <v>113</v>
      </c>
      <c r="B104" s="4" t="s">
        <v>10</v>
      </c>
      <c r="C104" s="4" t="s">
        <v>8</v>
      </c>
      <c r="D104" s="2" t="s">
        <v>8</v>
      </c>
      <c r="E104" s="2" t="s">
        <v>8</v>
      </c>
      <c r="F104" s="4" t="s">
        <v>10</v>
      </c>
      <c r="G104" s="4" t="s">
        <v>10</v>
      </c>
    </row>
    <row r="105" spans="1:7">
      <c r="A105" t="s">
        <v>114</v>
      </c>
      <c r="B105" s="4" t="s">
        <v>10</v>
      </c>
      <c r="C105" s="4" t="s">
        <v>10</v>
      </c>
      <c r="D105" s="2" t="s">
        <v>10</v>
      </c>
      <c r="E105" s="2" t="s">
        <v>10</v>
      </c>
      <c r="F105" s="4" t="s">
        <v>8</v>
      </c>
      <c r="G105" s="4" t="s">
        <v>8</v>
      </c>
    </row>
    <row r="106" spans="1:7">
      <c r="A106" t="s">
        <v>115</v>
      </c>
      <c r="B106" s="4" t="s">
        <v>8</v>
      </c>
      <c r="C106" s="4" t="s">
        <v>8</v>
      </c>
      <c r="D106" s="2" t="s">
        <v>8</v>
      </c>
      <c r="E106" s="2" t="s">
        <v>8</v>
      </c>
      <c r="F106" s="4" t="s">
        <v>8</v>
      </c>
      <c r="G106" s="4" t="s">
        <v>8</v>
      </c>
    </row>
    <row r="107" spans="1:7">
      <c r="A107" t="s">
        <v>116</v>
      </c>
      <c r="B107" s="4" t="s">
        <v>8</v>
      </c>
      <c r="C107" s="4" t="s">
        <v>8</v>
      </c>
      <c r="D107" s="2" t="s">
        <v>8</v>
      </c>
      <c r="E107" s="2" t="s">
        <v>8</v>
      </c>
      <c r="F107" s="4" t="s">
        <v>8</v>
      </c>
      <c r="G107" s="4" t="s">
        <v>8</v>
      </c>
    </row>
    <row r="108" spans="1:7">
      <c r="A108" t="s">
        <v>117</v>
      </c>
      <c r="B108" s="4" t="s">
        <v>29</v>
      </c>
      <c r="C108" s="4" t="s">
        <v>8</v>
      </c>
      <c r="D108" s="2" t="s">
        <v>8</v>
      </c>
      <c r="E108" s="9" t="s">
        <v>10</v>
      </c>
      <c r="F108" s="4" t="s">
        <v>8</v>
      </c>
      <c r="G108" s="4" t="s">
        <v>8</v>
      </c>
    </row>
    <row r="109" spans="1:7">
      <c r="A109" t="s">
        <v>118</v>
      </c>
      <c r="B109" s="4" t="s">
        <v>29</v>
      </c>
      <c r="C109" s="4" t="s">
        <v>29</v>
      </c>
      <c r="D109" s="2" t="s">
        <v>29</v>
      </c>
      <c r="E109" s="2" t="s">
        <v>10</v>
      </c>
      <c r="F109" s="4" t="s">
        <v>29</v>
      </c>
      <c r="G109" s="4" t="s">
        <v>29</v>
      </c>
    </row>
    <row r="110" spans="1:7">
      <c r="A110" t="s">
        <v>119</v>
      </c>
      <c r="B110" s="4" t="s">
        <v>8</v>
      </c>
      <c r="C110" s="9" t="s">
        <v>29</v>
      </c>
      <c r="D110" s="2" t="s">
        <v>29</v>
      </c>
      <c r="E110" s="2" t="s">
        <v>29</v>
      </c>
      <c r="F110" s="4" t="s">
        <v>39</v>
      </c>
      <c r="G110" s="4" t="s">
        <v>39</v>
      </c>
    </row>
    <row r="111" spans="1:7">
      <c r="A111" t="s">
        <v>120</v>
      </c>
      <c r="B111" s="4" t="s">
        <v>8</v>
      </c>
      <c r="C111" s="4" t="s">
        <v>8</v>
      </c>
      <c r="D111" s="2" t="s">
        <v>8</v>
      </c>
      <c r="E111" s="2" t="s">
        <v>8</v>
      </c>
      <c r="F111" s="4" t="s">
        <v>10</v>
      </c>
      <c r="G111" s="4" t="s">
        <v>10</v>
      </c>
    </row>
    <row r="112" spans="1:7">
      <c r="A112" t="s">
        <v>121</v>
      </c>
      <c r="B112" s="4" t="s">
        <v>8</v>
      </c>
      <c r="C112" s="4" t="s">
        <v>8</v>
      </c>
      <c r="D112" s="2" t="s">
        <v>10</v>
      </c>
      <c r="E112" s="2" t="s">
        <v>8</v>
      </c>
      <c r="F112" s="4" t="s">
        <v>10</v>
      </c>
      <c r="G112" s="4" t="s">
        <v>10</v>
      </c>
    </row>
    <row r="113" spans="1:7">
      <c r="A113" t="s">
        <v>122</v>
      </c>
      <c r="B113" s="4" t="s">
        <v>10</v>
      </c>
      <c r="C113" s="4" t="s">
        <v>10</v>
      </c>
      <c r="D113" s="2" t="s">
        <v>10</v>
      </c>
      <c r="E113" s="2" t="s">
        <v>10</v>
      </c>
      <c r="F113" s="4" t="s">
        <v>10</v>
      </c>
      <c r="G113" s="4" t="s">
        <v>8</v>
      </c>
    </row>
    <row r="114" spans="1:7">
      <c r="A114" t="s">
        <v>123</v>
      </c>
      <c r="B114" s="4" t="s">
        <v>8</v>
      </c>
      <c r="C114" s="4" t="s">
        <v>8</v>
      </c>
      <c r="D114" s="2" t="s">
        <v>10</v>
      </c>
      <c r="E114" s="2" t="s">
        <v>8</v>
      </c>
      <c r="F114" s="4" t="s">
        <v>10</v>
      </c>
      <c r="G114" s="4" t="s">
        <v>8</v>
      </c>
    </row>
    <row r="115" spans="1:7">
      <c r="A115" t="s">
        <v>124</v>
      </c>
      <c r="B115" s="4" t="s">
        <v>10</v>
      </c>
      <c r="C115" s="4" t="s">
        <v>8</v>
      </c>
      <c r="D115" s="2" t="s">
        <v>10</v>
      </c>
      <c r="E115" s="2" t="s">
        <v>8</v>
      </c>
      <c r="F115" s="4" t="s">
        <v>10</v>
      </c>
      <c r="G115" s="4" t="s">
        <v>8</v>
      </c>
    </row>
    <row r="116" spans="1:7">
      <c r="A116" t="s">
        <v>125</v>
      </c>
      <c r="B116" s="4" t="s">
        <v>8</v>
      </c>
      <c r="C116" s="4" t="s">
        <v>8</v>
      </c>
      <c r="D116" s="2" t="s">
        <v>8</v>
      </c>
      <c r="E116" s="2" t="s">
        <v>8</v>
      </c>
      <c r="F116" s="4" t="s">
        <v>8</v>
      </c>
      <c r="G116" s="4" t="s">
        <v>8</v>
      </c>
    </row>
    <row r="117" spans="1:7">
      <c r="A117" t="s">
        <v>126</v>
      </c>
      <c r="B117" s="4" t="s">
        <v>10</v>
      </c>
      <c r="C117" s="4" t="s">
        <v>8</v>
      </c>
      <c r="D117" s="2" t="s">
        <v>8</v>
      </c>
      <c r="E117" s="2" t="s">
        <v>8</v>
      </c>
      <c r="F117" s="4" t="s">
        <v>29</v>
      </c>
      <c r="G117" s="4" t="s">
        <v>10</v>
      </c>
    </row>
    <row r="118" spans="1:7">
      <c r="A118" t="s">
        <v>127</v>
      </c>
      <c r="B118" s="4" t="s">
        <v>8</v>
      </c>
      <c r="C118" s="4" t="s">
        <v>8</v>
      </c>
      <c r="D118" s="2" t="s">
        <v>8</v>
      </c>
      <c r="E118" s="2" t="s">
        <v>8</v>
      </c>
      <c r="F118" s="4" t="s">
        <v>8</v>
      </c>
      <c r="G118" s="4" t="s">
        <v>8</v>
      </c>
    </row>
    <row r="119" spans="1:7">
      <c r="A119" t="s">
        <v>128</v>
      </c>
      <c r="B119" s="4" t="s">
        <v>8</v>
      </c>
      <c r="C119" s="4" t="s">
        <v>8</v>
      </c>
      <c r="D119" s="2" t="s">
        <v>8</v>
      </c>
      <c r="E119" s="9" t="s">
        <v>10</v>
      </c>
      <c r="F119" s="4" t="s">
        <v>10</v>
      </c>
      <c r="G119" s="4" t="s">
        <v>29</v>
      </c>
    </row>
    <row r="120" spans="1:7">
      <c r="A120" t="s">
        <v>129</v>
      </c>
      <c r="B120" s="4" t="s">
        <v>8</v>
      </c>
      <c r="C120" s="4" t="s">
        <v>8</v>
      </c>
      <c r="D120" s="2" t="s">
        <v>8</v>
      </c>
      <c r="E120" s="2" t="s">
        <v>8</v>
      </c>
      <c r="F120" s="4" t="s">
        <v>10</v>
      </c>
      <c r="G120" s="4" t="s">
        <v>10</v>
      </c>
    </row>
    <row r="121" spans="1:7">
      <c r="A121" s="5" t="s">
        <v>130</v>
      </c>
      <c r="B121" s="6" t="s">
        <v>8</v>
      </c>
      <c r="C121" s="6" t="s">
        <v>8</v>
      </c>
      <c r="D121" s="7" t="s">
        <v>10</v>
      </c>
      <c r="E121" s="7" t="s">
        <v>10</v>
      </c>
      <c r="F121" s="6" t="s">
        <v>10</v>
      </c>
      <c r="G121" s="6" t="s">
        <v>10</v>
      </c>
    </row>
    <row r="122" spans="1:7">
      <c r="A122" t="s">
        <v>131</v>
      </c>
      <c r="B122" s="2" t="s">
        <v>8</v>
      </c>
      <c r="C122" s="2" t="s">
        <v>8</v>
      </c>
      <c r="D122" s="2" t="s">
        <v>8</v>
      </c>
      <c r="E122" s="2" t="s">
        <v>8</v>
      </c>
      <c r="F122" s="2" t="s">
        <v>8</v>
      </c>
      <c r="G122" s="2" t="s">
        <v>8</v>
      </c>
    </row>
    <row r="123" spans="1:7">
      <c r="A123" t="s">
        <v>132</v>
      </c>
      <c r="B123" s="2" t="s">
        <v>8</v>
      </c>
      <c r="C123" s="2" t="s">
        <v>8</v>
      </c>
      <c r="D123" s="2" t="s">
        <v>10</v>
      </c>
      <c r="E123" s="2" t="s">
        <v>8</v>
      </c>
      <c r="F123" s="2" t="s">
        <v>8</v>
      </c>
      <c r="G123" s="2" t="s">
        <v>8</v>
      </c>
    </row>
    <row r="124" spans="1:7">
      <c r="A124" t="s">
        <v>133</v>
      </c>
      <c r="B124" s="2" t="s">
        <v>10</v>
      </c>
      <c r="C124" s="2" t="s">
        <v>10</v>
      </c>
      <c r="D124" s="2" t="s">
        <v>8</v>
      </c>
      <c r="E124" s="2" t="s">
        <v>8</v>
      </c>
      <c r="F124" s="2" t="s">
        <v>8</v>
      </c>
      <c r="G124" s="2" t="s">
        <v>8</v>
      </c>
    </row>
    <row r="125" spans="1:7">
      <c r="A125" t="s">
        <v>134</v>
      </c>
      <c r="B125" s="2" t="s">
        <v>8</v>
      </c>
      <c r="C125" s="9" t="s">
        <v>10</v>
      </c>
      <c r="D125" s="2" t="s">
        <v>10</v>
      </c>
      <c r="E125" s="2" t="s">
        <v>8</v>
      </c>
      <c r="F125" s="2" t="s">
        <v>8</v>
      </c>
      <c r="G125" s="2" t="s">
        <v>8</v>
      </c>
    </row>
    <row r="126" spans="1:7">
      <c r="A126" t="s">
        <v>135</v>
      </c>
      <c r="B126" s="2" t="s">
        <v>8</v>
      </c>
      <c r="C126" s="2" t="s">
        <v>8</v>
      </c>
      <c r="D126" s="2" t="s">
        <v>8</v>
      </c>
      <c r="E126" s="2" t="s">
        <v>8</v>
      </c>
      <c r="F126" s="2" t="s">
        <v>8</v>
      </c>
      <c r="G126" s="2" t="s">
        <v>8</v>
      </c>
    </row>
    <row r="127" spans="1:7">
      <c r="A127" t="s">
        <v>136</v>
      </c>
      <c r="B127" s="2" t="s">
        <v>8</v>
      </c>
      <c r="C127" s="9" t="s">
        <v>10</v>
      </c>
      <c r="D127" s="2" t="s">
        <v>8</v>
      </c>
      <c r="E127" s="2" t="s">
        <v>8</v>
      </c>
      <c r="F127" s="2" t="s">
        <v>8</v>
      </c>
      <c r="G127" s="2" t="s">
        <v>8</v>
      </c>
    </row>
    <row r="128" spans="1:7">
      <c r="A128" t="s">
        <v>137</v>
      </c>
      <c r="B128" s="2" t="s">
        <v>8</v>
      </c>
      <c r="C128" s="9" t="s">
        <v>10</v>
      </c>
      <c r="D128" s="4" t="s">
        <v>10</v>
      </c>
      <c r="E128" s="4" t="s">
        <v>10</v>
      </c>
      <c r="F128" s="2" t="s">
        <v>10</v>
      </c>
      <c r="G128" s="2" t="s">
        <v>10</v>
      </c>
    </row>
    <row r="129" spans="1:7">
      <c r="A129" t="s">
        <v>138</v>
      </c>
      <c r="B129" s="2" t="s">
        <v>10</v>
      </c>
      <c r="C129" s="2" t="s">
        <v>10</v>
      </c>
      <c r="D129" s="2" t="s">
        <v>8</v>
      </c>
      <c r="E129" s="2" t="s">
        <v>8</v>
      </c>
      <c r="F129" s="2" t="s">
        <v>8</v>
      </c>
      <c r="G129" s="9" t="s">
        <v>10</v>
      </c>
    </row>
    <row r="130" spans="1:7">
      <c r="A130" t="s">
        <v>139</v>
      </c>
      <c r="B130" s="2" t="s">
        <v>10</v>
      </c>
      <c r="C130" s="2" t="s">
        <v>10</v>
      </c>
      <c r="D130" s="2" t="s">
        <v>8</v>
      </c>
      <c r="E130" s="2" t="s">
        <v>8</v>
      </c>
      <c r="F130" s="2" t="s">
        <v>10</v>
      </c>
      <c r="G130" s="2" t="s">
        <v>8</v>
      </c>
    </row>
    <row r="131" spans="1:7">
      <c r="A131" t="s">
        <v>140</v>
      </c>
      <c r="B131" s="2" t="s">
        <v>10</v>
      </c>
      <c r="C131" s="2" t="s">
        <v>10</v>
      </c>
      <c r="D131" s="2" t="s">
        <v>8</v>
      </c>
      <c r="E131" s="2" t="s">
        <v>8</v>
      </c>
      <c r="F131" s="2" t="s">
        <v>8</v>
      </c>
      <c r="G131" s="2" t="s">
        <v>8</v>
      </c>
    </row>
    <row r="132" spans="1:7">
      <c r="A132" t="s">
        <v>141</v>
      </c>
      <c r="B132" s="2" t="s">
        <v>10</v>
      </c>
      <c r="C132" s="2" t="s">
        <v>10</v>
      </c>
      <c r="D132" s="2" t="s">
        <v>8</v>
      </c>
      <c r="E132" s="2" t="s">
        <v>8</v>
      </c>
      <c r="F132" s="2" t="s">
        <v>8</v>
      </c>
      <c r="G132" s="2" t="s">
        <v>8</v>
      </c>
    </row>
    <row r="133" spans="1:7">
      <c r="A133" t="s">
        <v>142</v>
      </c>
      <c r="B133" s="2" t="s">
        <v>10</v>
      </c>
      <c r="C133" s="2" t="s">
        <v>10</v>
      </c>
      <c r="D133" s="2" t="s">
        <v>8</v>
      </c>
      <c r="E133" s="2" t="s">
        <v>8</v>
      </c>
      <c r="F133" s="2" t="s">
        <v>10</v>
      </c>
      <c r="G133" s="2" t="s">
        <v>10</v>
      </c>
    </row>
    <row r="134" spans="1:7">
      <c r="A134" t="s">
        <v>143</v>
      </c>
      <c r="B134" s="2" t="s">
        <v>8</v>
      </c>
      <c r="C134" s="2" t="s">
        <v>8</v>
      </c>
      <c r="D134" s="2" t="s">
        <v>8</v>
      </c>
      <c r="E134" s="2" t="s">
        <v>8</v>
      </c>
      <c r="F134" s="2" t="s">
        <v>8</v>
      </c>
      <c r="G134" s="2" t="s">
        <v>8</v>
      </c>
    </row>
    <row r="135" spans="1:7">
      <c r="A135" t="s">
        <v>144</v>
      </c>
      <c r="B135" s="2" t="s">
        <v>8</v>
      </c>
      <c r="C135" s="2" t="s">
        <v>8</v>
      </c>
      <c r="D135" s="2" t="s">
        <v>10</v>
      </c>
      <c r="E135" s="2" t="s">
        <v>10</v>
      </c>
      <c r="F135" s="2" t="s">
        <v>8</v>
      </c>
      <c r="G135" s="2" t="s">
        <v>8</v>
      </c>
    </row>
    <row r="136" spans="1:7">
      <c r="A136" t="s">
        <v>145</v>
      </c>
      <c r="B136" s="2" t="s">
        <v>10</v>
      </c>
      <c r="C136" s="2" t="s">
        <v>10</v>
      </c>
      <c r="D136" s="2" t="s">
        <v>10</v>
      </c>
      <c r="E136" s="2" t="s">
        <v>8</v>
      </c>
      <c r="F136" s="2" t="s">
        <v>10</v>
      </c>
      <c r="G136" s="2" t="s">
        <v>8</v>
      </c>
    </row>
    <row r="137" spans="1:7">
      <c r="A137" t="s">
        <v>146</v>
      </c>
      <c r="B137" s="2" t="s">
        <v>8</v>
      </c>
      <c r="C137" s="2" t="s">
        <v>8</v>
      </c>
      <c r="D137" s="2" t="s">
        <v>10</v>
      </c>
      <c r="E137" s="2" t="s">
        <v>10</v>
      </c>
      <c r="F137" s="2" t="s">
        <v>8</v>
      </c>
      <c r="G137" s="2" t="s">
        <v>8</v>
      </c>
    </row>
    <row r="138" spans="1:7">
      <c r="A138" t="s">
        <v>147</v>
      </c>
      <c r="B138" s="2" t="s">
        <v>8</v>
      </c>
      <c r="C138" s="2" t="s">
        <v>8</v>
      </c>
      <c r="D138" s="2" t="s">
        <v>8</v>
      </c>
      <c r="E138" s="2" t="s">
        <v>8</v>
      </c>
      <c r="F138" s="2" t="s">
        <v>8</v>
      </c>
      <c r="G138" s="2" t="s">
        <v>8</v>
      </c>
    </row>
    <row r="139" spans="1:7">
      <c r="A139" t="s">
        <v>148</v>
      </c>
      <c r="B139" s="2" t="s">
        <v>8</v>
      </c>
      <c r="C139" s="2" t="s">
        <v>8</v>
      </c>
      <c r="D139" s="2" t="s">
        <v>29</v>
      </c>
      <c r="E139" s="2" t="s">
        <v>10</v>
      </c>
      <c r="F139" s="2" t="s">
        <v>10</v>
      </c>
      <c r="G139" s="2" t="s">
        <v>10</v>
      </c>
    </row>
    <row r="140" spans="1:7">
      <c r="A140" t="s">
        <v>149</v>
      </c>
      <c r="B140" s="2" t="s">
        <v>39</v>
      </c>
      <c r="C140" s="2" t="s">
        <v>10</v>
      </c>
      <c r="D140" s="2" t="s">
        <v>8</v>
      </c>
      <c r="E140" s="4" t="s">
        <v>8</v>
      </c>
      <c r="F140" s="2" t="s">
        <v>8</v>
      </c>
      <c r="G140" s="4" t="s">
        <v>8</v>
      </c>
    </row>
    <row r="141" spans="1:7">
      <c r="A141" t="s">
        <v>150</v>
      </c>
      <c r="B141" s="2" t="s">
        <v>29</v>
      </c>
      <c r="C141" s="2" t="s">
        <v>8</v>
      </c>
      <c r="D141" s="2" t="s">
        <v>29</v>
      </c>
      <c r="E141" s="2" t="s">
        <v>29</v>
      </c>
      <c r="F141" s="2" t="s">
        <v>8</v>
      </c>
      <c r="G141" s="2" t="s">
        <v>8</v>
      </c>
    </row>
    <row r="142" spans="1:7">
      <c r="A142" t="s">
        <v>151</v>
      </c>
      <c r="B142" s="2" t="s">
        <v>8</v>
      </c>
      <c r="C142" s="2" t="s">
        <v>8</v>
      </c>
      <c r="D142" s="2" t="s">
        <v>8</v>
      </c>
      <c r="E142" s="2" t="s">
        <v>8</v>
      </c>
      <c r="F142" s="2" t="s">
        <v>8</v>
      </c>
      <c r="G142" s="2" t="s">
        <v>8</v>
      </c>
    </row>
    <row r="143" spans="1:7">
      <c r="A143" t="s">
        <v>152</v>
      </c>
      <c r="B143" s="2" t="s">
        <v>29</v>
      </c>
      <c r="C143" s="2" t="s">
        <v>29</v>
      </c>
      <c r="D143" s="2" t="s">
        <v>29</v>
      </c>
      <c r="E143" s="2" t="s">
        <v>29</v>
      </c>
      <c r="F143" s="2" t="s">
        <v>29</v>
      </c>
      <c r="G143" s="2" t="s">
        <v>29</v>
      </c>
    </row>
    <row r="144" spans="1:7">
      <c r="A144" t="s">
        <v>153</v>
      </c>
      <c r="B144" s="2" t="s">
        <v>8</v>
      </c>
      <c r="C144" s="2" t="s">
        <v>8</v>
      </c>
      <c r="D144" s="2" t="s">
        <v>10</v>
      </c>
      <c r="E144" s="2" t="s">
        <v>10</v>
      </c>
      <c r="F144" s="2" t="s">
        <v>8</v>
      </c>
      <c r="G144" s="2" t="s">
        <v>8</v>
      </c>
    </row>
    <row r="145" spans="1:7">
      <c r="A145" t="s">
        <v>154</v>
      </c>
      <c r="B145" s="2" t="s">
        <v>29</v>
      </c>
      <c r="C145" s="2" t="s">
        <v>29</v>
      </c>
      <c r="D145" s="2" t="s">
        <v>10</v>
      </c>
      <c r="E145" s="2" t="s">
        <v>29</v>
      </c>
      <c r="F145" s="2" t="s">
        <v>10</v>
      </c>
      <c r="G145" s="2" t="s">
        <v>29</v>
      </c>
    </row>
    <row r="146" spans="1:7">
      <c r="A146" t="s">
        <v>155</v>
      </c>
      <c r="B146" s="2" t="s">
        <v>29</v>
      </c>
      <c r="C146" s="2" t="s">
        <v>29</v>
      </c>
      <c r="D146" s="2" t="s">
        <v>10</v>
      </c>
      <c r="E146" s="2" t="s">
        <v>10</v>
      </c>
      <c r="F146" s="2" t="s">
        <v>8</v>
      </c>
      <c r="G146" s="9" t="s">
        <v>39</v>
      </c>
    </row>
    <row r="147" spans="1:7">
      <c r="A147" t="s">
        <v>156</v>
      </c>
      <c r="B147" s="2" t="s">
        <v>29</v>
      </c>
      <c r="C147" s="2" t="s">
        <v>29</v>
      </c>
      <c r="D147" s="2" t="s">
        <v>10</v>
      </c>
      <c r="E147" s="2" t="s">
        <v>10</v>
      </c>
      <c r="F147" s="2" t="s">
        <v>10</v>
      </c>
      <c r="G147" s="2" t="s">
        <v>10</v>
      </c>
    </row>
    <row r="148" spans="1:7">
      <c r="A148" t="s">
        <v>157</v>
      </c>
      <c r="B148" s="2" t="s">
        <v>29</v>
      </c>
      <c r="C148" s="2" t="s">
        <v>29</v>
      </c>
      <c r="D148" s="2" t="s">
        <v>10</v>
      </c>
      <c r="E148" s="2" t="s">
        <v>10</v>
      </c>
      <c r="F148" s="2" t="s">
        <v>29</v>
      </c>
      <c r="G148" s="2" t="s">
        <v>29</v>
      </c>
    </row>
    <row r="149" spans="1:7">
      <c r="A149" t="s">
        <v>158</v>
      </c>
      <c r="B149" s="2" t="s">
        <v>10</v>
      </c>
      <c r="C149" s="2" t="s">
        <v>10</v>
      </c>
      <c r="D149" s="2" t="s">
        <v>10</v>
      </c>
      <c r="E149" s="2" t="s">
        <v>10</v>
      </c>
      <c r="F149" s="2" t="s">
        <v>10</v>
      </c>
      <c r="G149" s="2" t="s">
        <v>10</v>
      </c>
    </row>
    <row r="150" spans="1:7">
      <c r="A150" t="s">
        <v>159</v>
      </c>
      <c r="B150" s="2" t="s">
        <v>8</v>
      </c>
      <c r="C150" s="2" t="s">
        <v>8</v>
      </c>
      <c r="D150" s="2" t="s">
        <v>29</v>
      </c>
      <c r="E150" s="2" t="s">
        <v>8</v>
      </c>
      <c r="F150" s="2" t="s">
        <v>8</v>
      </c>
      <c r="G150" s="2" t="s">
        <v>8</v>
      </c>
    </row>
    <row r="151" spans="1:7">
      <c r="A151" s="5" t="s">
        <v>160</v>
      </c>
      <c r="B151" s="7" t="s">
        <v>10</v>
      </c>
      <c r="C151" s="7" t="s">
        <v>10</v>
      </c>
      <c r="D151" s="7" t="s">
        <v>10</v>
      </c>
      <c r="E151" s="7" t="s">
        <v>10</v>
      </c>
      <c r="F151" s="7" t="s">
        <v>8</v>
      </c>
      <c r="G151" s="6" t="s">
        <v>8</v>
      </c>
    </row>
    <row r="152" spans="1:7">
      <c r="A152" t="s">
        <v>161</v>
      </c>
      <c r="B152" s="2" t="s">
        <v>8</v>
      </c>
      <c r="C152" s="2" t="s">
        <v>8</v>
      </c>
      <c r="D152" s="2" t="s">
        <v>8</v>
      </c>
      <c r="E152" s="2" t="s">
        <v>8</v>
      </c>
      <c r="F152" s="2" t="s">
        <v>8</v>
      </c>
      <c r="G152" s="2" t="s">
        <v>8</v>
      </c>
    </row>
    <row r="153" spans="1:7">
      <c r="A153" t="s">
        <v>162</v>
      </c>
      <c r="B153" s="2" t="s">
        <v>8</v>
      </c>
      <c r="C153" s="2" t="s">
        <v>8</v>
      </c>
      <c r="D153" s="2" t="s">
        <v>8</v>
      </c>
      <c r="E153" s="2" t="s">
        <v>8</v>
      </c>
      <c r="F153" s="2" t="s">
        <v>8</v>
      </c>
      <c r="G153" s="2" t="s">
        <v>8</v>
      </c>
    </row>
    <row r="154" spans="1:7">
      <c r="A154" t="s">
        <v>163</v>
      </c>
      <c r="B154" s="2" t="s">
        <v>10</v>
      </c>
      <c r="C154" s="2" t="s">
        <v>10</v>
      </c>
      <c r="D154" s="2" t="s">
        <v>10</v>
      </c>
      <c r="E154" s="2" t="s">
        <v>8</v>
      </c>
      <c r="F154" s="2" t="s">
        <v>8</v>
      </c>
      <c r="G154" s="2" t="s">
        <v>8</v>
      </c>
    </row>
    <row r="155" spans="1:7">
      <c r="A155" t="s">
        <v>164</v>
      </c>
      <c r="B155" s="2" t="s">
        <v>10</v>
      </c>
      <c r="C155" s="2" t="s">
        <v>8</v>
      </c>
      <c r="D155" s="2" t="s">
        <v>8</v>
      </c>
      <c r="E155" s="2" t="s">
        <v>8</v>
      </c>
      <c r="F155" s="2" t="s">
        <v>8</v>
      </c>
      <c r="G155" s="2" t="s">
        <v>8</v>
      </c>
    </row>
    <row r="156" spans="1:7">
      <c r="A156" t="s">
        <v>165</v>
      </c>
      <c r="B156" s="2" t="s">
        <v>10</v>
      </c>
      <c r="C156" s="2" t="s">
        <v>10</v>
      </c>
      <c r="D156" s="2" t="s">
        <v>10</v>
      </c>
      <c r="E156" s="2" t="s">
        <v>10</v>
      </c>
      <c r="F156" s="2" t="s">
        <v>10</v>
      </c>
      <c r="G156" s="2" t="s">
        <v>10</v>
      </c>
    </row>
    <row r="157" spans="1:7">
      <c r="A157" t="s">
        <v>166</v>
      </c>
      <c r="B157" s="2" t="s">
        <v>8</v>
      </c>
      <c r="C157" s="2" t="s">
        <v>8</v>
      </c>
      <c r="D157" s="2" t="s">
        <v>8</v>
      </c>
      <c r="E157" s="2" t="s">
        <v>8</v>
      </c>
      <c r="F157" s="2" t="s">
        <v>8</v>
      </c>
      <c r="G157" s="2" t="s">
        <v>8</v>
      </c>
    </row>
    <row r="158" spans="1:7">
      <c r="A158" t="s">
        <v>167</v>
      </c>
      <c r="B158" s="2" t="s">
        <v>8</v>
      </c>
      <c r="C158" s="9" t="s">
        <v>10</v>
      </c>
      <c r="D158" s="2" t="s">
        <v>8</v>
      </c>
      <c r="E158" s="2" t="s">
        <v>8</v>
      </c>
      <c r="F158" s="2" t="s">
        <v>8</v>
      </c>
      <c r="G158" s="2" t="s">
        <v>8</v>
      </c>
    </row>
    <row r="159" spans="1:7">
      <c r="A159" t="s">
        <v>168</v>
      </c>
      <c r="B159" s="2" t="s">
        <v>8</v>
      </c>
      <c r="C159" s="2" t="s">
        <v>8</v>
      </c>
      <c r="D159" s="2" t="s">
        <v>8</v>
      </c>
      <c r="E159" s="2" t="s">
        <v>8</v>
      </c>
      <c r="F159" s="2" t="s">
        <v>8</v>
      </c>
      <c r="G159" s="2" t="s">
        <v>8</v>
      </c>
    </row>
    <row r="160" spans="1:7">
      <c r="A160" t="s">
        <v>169</v>
      </c>
      <c r="B160" s="2" t="s">
        <v>10</v>
      </c>
      <c r="C160" s="2" t="s">
        <v>10</v>
      </c>
      <c r="D160" s="2" t="s">
        <v>8</v>
      </c>
      <c r="E160" s="9" t="s">
        <v>10</v>
      </c>
      <c r="F160" s="2" t="s">
        <v>10</v>
      </c>
      <c r="G160" s="2" t="s">
        <v>10</v>
      </c>
    </row>
    <row r="161" spans="1:7">
      <c r="A161" t="s">
        <v>170</v>
      </c>
      <c r="B161" s="2" t="s">
        <v>8</v>
      </c>
      <c r="C161" s="2" t="s">
        <v>8</v>
      </c>
      <c r="D161" s="2" t="s">
        <v>8</v>
      </c>
      <c r="E161" s="2" t="s">
        <v>8</v>
      </c>
      <c r="F161" s="2" t="s">
        <v>8</v>
      </c>
      <c r="G161" s="2" t="s">
        <v>8</v>
      </c>
    </row>
    <row r="162" spans="1:7">
      <c r="A162" t="s">
        <v>171</v>
      </c>
      <c r="B162" s="2" t="s">
        <v>10</v>
      </c>
      <c r="C162" s="2" t="s">
        <v>8</v>
      </c>
      <c r="D162" s="2" t="s">
        <v>10</v>
      </c>
      <c r="E162" s="2" t="s">
        <v>8</v>
      </c>
      <c r="F162" s="2" t="s">
        <v>8</v>
      </c>
      <c r="G162" s="2" t="s">
        <v>8</v>
      </c>
    </row>
    <row r="163" spans="1:7">
      <c r="A163" t="s">
        <v>172</v>
      </c>
      <c r="B163" s="2" t="s">
        <v>8</v>
      </c>
      <c r="C163" s="2" t="s">
        <v>8</v>
      </c>
      <c r="D163" s="2" t="s">
        <v>8</v>
      </c>
      <c r="E163" s="2" t="s">
        <v>8</v>
      </c>
      <c r="F163" s="2" t="s">
        <v>8</v>
      </c>
      <c r="G163" s="2" t="s">
        <v>8</v>
      </c>
    </row>
    <row r="164" spans="1:7">
      <c r="A164" t="s">
        <v>173</v>
      </c>
      <c r="B164" s="2" t="s">
        <v>10</v>
      </c>
      <c r="C164" s="2" t="s">
        <v>10</v>
      </c>
      <c r="D164" s="2" t="s">
        <v>8</v>
      </c>
      <c r="E164" s="2" t="s">
        <v>8</v>
      </c>
      <c r="F164" s="2" t="s">
        <v>8</v>
      </c>
      <c r="G164" s="9" t="s">
        <v>10</v>
      </c>
    </row>
    <row r="165" spans="1:7">
      <c r="A165" t="s">
        <v>174</v>
      </c>
      <c r="B165" s="2" t="s">
        <v>8</v>
      </c>
      <c r="C165" s="2" t="s">
        <v>8</v>
      </c>
      <c r="D165" s="2" t="s">
        <v>8</v>
      </c>
      <c r="E165" s="2" t="s">
        <v>8</v>
      </c>
      <c r="F165" s="2" t="s">
        <v>8</v>
      </c>
      <c r="G165" s="2" t="s">
        <v>8</v>
      </c>
    </row>
    <row r="166" spans="1:7">
      <c r="A166" t="s">
        <v>175</v>
      </c>
      <c r="B166" s="2" t="s">
        <v>8</v>
      </c>
      <c r="C166" s="2" t="s">
        <v>8</v>
      </c>
      <c r="D166" s="2" t="s">
        <v>8</v>
      </c>
      <c r="E166" s="2" t="s">
        <v>8</v>
      </c>
      <c r="F166" s="2" t="s">
        <v>8</v>
      </c>
      <c r="G166" s="2" t="s">
        <v>8</v>
      </c>
    </row>
    <row r="167" spans="1:7">
      <c r="A167" t="s">
        <v>176</v>
      </c>
      <c r="B167" s="2" t="s">
        <v>10</v>
      </c>
      <c r="C167" s="2" t="s">
        <v>10</v>
      </c>
      <c r="D167" s="2" t="s">
        <v>10</v>
      </c>
      <c r="E167" s="2" t="s">
        <v>8</v>
      </c>
      <c r="F167" s="2" t="s">
        <v>10</v>
      </c>
      <c r="G167" s="2" t="s">
        <v>10</v>
      </c>
    </row>
    <row r="168" spans="1:7">
      <c r="A168" t="s">
        <v>177</v>
      </c>
      <c r="B168" s="2" t="s">
        <v>8</v>
      </c>
      <c r="C168" s="2" t="s">
        <v>8</v>
      </c>
      <c r="D168" s="2" t="s">
        <v>10</v>
      </c>
      <c r="E168" s="2" t="s">
        <v>10</v>
      </c>
      <c r="F168" s="2" t="s">
        <v>8</v>
      </c>
      <c r="G168" s="2" t="s">
        <v>8</v>
      </c>
    </row>
    <row r="169" spans="1:7">
      <c r="A169" t="s">
        <v>178</v>
      </c>
      <c r="B169" s="2" t="s">
        <v>8</v>
      </c>
      <c r="C169" s="2" t="s">
        <v>8</v>
      </c>
      <c r="D169" s="2" t="s">
        <v>8</v>
      </c>
      <c r="E169" s="2" t="s">
        <v>8</v>
      </c>
      <c r="F169" s="2" t="s">
        <v>8</v>
      </c>
      <c r="G169" s="2" t="s">
        <v>8</v>
      </c>
    </row>
    <row r="170" spans="1:7">
      <c r="A170" t="s">
        <v>179</v>
      </c>
      <c r="B170" s="2" t="s">
        <v>8</v>
      </c>
      <c r="C170" s="2" t="s">
        <v>8</v>
      </c>
      <c r="D170" s="2" t="s">
        <v>10</v>
      </c>
      <c r="E170" s="2" t="s">
        <v>10</v>
      </c>
      <c r="F170" s="2" t="s">
        <v>10</v>
      </c>
      <c r="G170" s="2" t="s">
        <v>10</v>
      </c>
    </row>
    <row r="171" spans="1:7">
      <c r="A171" t="s">
        <v>180</v>
      </c>
      <c r="B171" s="2" t="s">
        <v>8</v>
      </c>
      <c r="C171" s="2" t="s">
        <v>8</v>
      </c>
      <c r="D171" s="2" t="s">
        <v>10</v>
      </c>
      <c r="E171" s="2" t="s">
        <v>10</v>
      </c>
      <c r="F171" s="2" t="s">
        <v>8</v>
      </c>
      <c r="G171" s="2" t="s">
        <v>8</v>
      </c>
    </row>
    <row r="172" spans="1:7">
      <c r="A172" t="s">
        <v>181</v>
      </c>
      <c r="B172" s="2" t="s">
        <v>8</v>
      </c>
      <c r="C172" s="2" t="s">
        <v>8</v>
      </c>
      <c r="D172" s="2" t="s">
        <v>8</v>
      </c>
      <c r="E172" s="2" t="s">
        <v>8</v>
      </c>
      <c r="F172" s="2" t="s">
        <v>8</v>
      </c>
      <c r="G172" s="2" t="s">
        <v>8</v>
      </c>
    </row>
    <row r="173" spans="1:7">
      <c r="A173" t="s">
        <v>182</v>
      </c>
      <c r="B173" s="2" t="s">
        <v>8</v>
      </c>
      <c r="C173" s="2" t="s">
        <v>8</v>
      </c>
      <c r="D173" s="2" t="s">
        <v>10</v>
      </c>
      <c r="E173" s="2" t="s">
        <v>8</v>
      </c>
      <c r="F173" s="2" t="s">
        <v>8</v>
      </c>
      <c r="G173" s="2" t="s">
        <v>8</v>
      </c>
    </row>
    <row r="174" spans="1:7">
      <c r="A174" t="s">
        <v>183</v>
      </c>
      <c r="B174" s="2" t="s">
        <v>8</v>
      </c>
      <c r="C174" s="9" t="s">
        <v>10</v>
      </c>
      <c r="D174" s="2" t="s">
        <v>10</v>
      </c>
      <c r="E174" s="2" t="s">
        <v>10</v>
      </c>
      <c r="F174" s="2" t="s">
        <v>10</v>
      </c>
      <c r="G174" s="2" t="s">
        <v>10</v>
      </c>
    </row>
    <row r="175" spans="1:7">
      <c r="A175" t="s">
        <v>184</v>
      </c>
      <c r="B175" s="2" t="s">
        <v>10</v>
      </c>
      <c r="C175" s="2" t="s">
        <v>10</v>
      </c>
      <c r="D175" s="2" t="s">
        <v>10</v>
      </c>
      <c r="E175" s="2" t="s">
        <v>10</v>
      </c>
      <c r="F175" s="2" t="s">
        <v>10</v>
      </c>
      <c r="G175" s="2" t="s">
        <v>10</v>
      </c>
    </row>
    <row r="176" spans="1:7">
      <c r="A176" t="s">
        <v>185</v>
      </c>
      <c r="B176" s="2" t="s">
        <v>8</v>
      </c>
      <c r="C176" s="2" t="s">
        <v>8</v>
      </c>
      <c r="D176" s="2" t="s">
        <v>8</v>
      </c>
      <c r="E176" s="9" t="s">
        <v>10</v>
      </c>
      <c r="F176" s="2" t="s">
        <v>8</v>
      </c>
      <c r="G176" s="2" t="s">
        <v>8</v>
      </c>
    </row>
    <row r="177" spans="1:64">
      <c r="A177" t="s">
        <v>186</v>
      </c>
      <c r="B177" s="2" t="s">
        <v>10</v>
      </c>
      <c r="C177" s="2" t="s">
        <v>8</v>
      </c>
      <c r="D177" s="2" t="s">
        <v>39</v>
      </c>
      <c r="E177" s="2" t="s">
        <v>8</v>
      </c>
      <c r="F177" s="2" t="s">
        <v>10</v>
      </c>
      <c r="G177" s="2" t="s">
        <v>8</v>
      </c>
    </row>
    <row r="178" spans="1:64">
      <c r="A178" t="s">
        <v>187</v>
      </c>
      <c r="B178" s="2" t="s">
        <v>29</v>
      </c>
      <c r="C178" s="2" t="s">
        <v>10</v>
      </c>
      <c r="D178" s="2" t="s">
        <v>29</v>
      </c>
      <c r="E178" s="2" t="s">
        <v>10</v>
      </c>
      <c r="F178" s="2" t="s">
        <v>10</v>
      </c>
      <c r="G178" s="2" t="s">
        <v>10</v>
      </c>
    </row>
    <row r="179" spans="1:64">
      <c r="A179" t="s">
        <v>188</v>
      </c>
      <c r="B179" s="2" t="s">
        <v>10</v>
      </c>
      <c r="C179" s="2" t="s">
        <v>8</v>
      </c>
      <c r="D179" s="2" t="s">
        <v>10</v>
      </c>
      <c r="E179" s="2" t="s">
        <v>29</v>
      </c>
      <c r="F179" s="2" t="s">
        <v>29</v>
      </c>
      <c r="G179" s="2" t="s">
        <v>8</v>
      </c>
    </row>
    <row r="180" spans="1:64">
      <c r="A180" t="s">
        <v>189</v>
      </c>
      <c r="B180" s="2" t="s">
        <v>29</v>
      </c>
      <c r="C180" s="2" t="s">
        <v>29</v>
      </c>
      <c r="D180" s="2" t="s">
        <v>10</v>
      </c>
      <c r="E180" s="2" t="s">
        <v>10</v>
      </c>
      <c r="F180" s="2" t="s">
        <v>10</v>
      </c>
      <c r="G180" s="2" t="s">
        <v>10</v>
      </c>
    </row>
    <row r="181" spans="1:64">
      <c r="A181" t="s">
        <v>190</v>
      </c>
      <c r="B181" s="2" t="s">
        <v>10</v>
      </c>
      <c r="C181" s="2" t="s">
        <v>10</v>
      </c>
      <c r="D181" s="2" t="s">
        <v>8</v>
      </c>
      <c r="E181" s="2" t="s">
        <v>8</v>
      </c>
      <c r="F181" s="2" t="s">
        <v>10</v>
      </c>
      <c r="G181" s="2" t="s">
        <v>10</v>
      </c>
    </row>
    <row r="182" spans="1:64">
      <c r="A182" t="s">
        <v>191</v>
      </c>
      <c r="B182" s="2" t="s">
        <v>10</v>
      </c>
      <c r="C182" s="2" t="s">
        <v>10</v>
      </c>
      <c r="D182" s="2" t="s">
        <v>10</v>
      </c>
      <c r="E182" s="2" t="s">
        <v>10</v>
      </c>
      <c r="F182" s="2" t="s">
        <v>10</v>
      </c>
      <c r="G182" s="2" t="s">
        <v>8</v>
      </c>
    </row>
    <row r="183" spans="1:64" s="8" customFormat="1">
      <c r="A183" s="5" t="s">
        <v>192</v>
      </c>
      <c r="B183" s="7" t="s">
        <v>29</v>
      </c>
      <c r="C183" s="7" t="s">
        <v>8</v>
      </c>
      <c r="D183" s="7" t="s">
        <v>8</v>
      </c>
      <c r="E183" s="7" t="s">
        <v>8</v>
      </c>
      <c r="F183" s="7" t="s">
        <v>8</v>
      </c>
      <c r="G183" s="7" t="s">
        <v>8</v>
      </c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</row>
    <row r="184" spans="1:64">
      <c r="A184" t="s">
        <v>193</v>
      </c>
      <c r="B184" s="2" t="s">
        <v>8</v>
      </c>
      <c r="C184" s="2" t="s">
        <v>8</v>
      </c>
      <c r="D184" s="2" t="s">
        <v>8</v>
      </c>
      <c r="E184" s="2" t="s">
        <v>8</v>
      </c>
      <c r="F184" s="2" t="s">
        <v>8</v>
      </c>
      <c r="G184" s="2" t="s">
        <v>8</v>
      </c>
    </row>
    <row r="185" spans="1:64">
      <c r="A185" t="s">
        <v>194</v>
      </c>
      <c r="B185" s="2" t="s">
        <v>8</v>
      </c>
      <c r="C185" s="2" t="s">
        <v>8</v>
      </c>
      <c r="D185" s="2" t="s">
        <v>8</v>
      </c>
      <c r="E185" s="2" t="s">
        <v>8</v>
      </c>
      <c r="F185" s="2" t="s">
        <v>8</v>
      </c>
      <c r="G185" s="2" t="s">
        <v>8</v>
      </c>
    </row>
    <row r="186" spans="1:64">
      <c r="A186" t="s">
        <v>195</v>
      </c>
      <c r="B186" s="2" t="s">
        <v>8</v>
      </c>
      <c r="C186" s="2" t="s">
        <v>8</v>
      </c>
      <c r="D186" s="2" t="s">
        <v>8</v>
      </c>
      <c r="E186" s="2" t="s">
        <v>8</v>
      </c>
      <c r="F186" s="2" t="s">
        <v>8</v>
      </c>
      <c r="G186" s="2" t="s">
        <v>8</v>
      </c>
    </row>
    <row r="187" spans="1:64">
      <c r="A187" t="s">
        <v>196</v>
      </c>
      <c r="B187" s="2" t="s">
        <v>10</v>
      </c>
      <c r="C187" s="2" t="s">
        <v>10</v>
      </c>
      <c r="D187" s="2" t="s">
        <v>8</v>
      </c>
      <c r="E187" s="2" t="s">
        <v>8</v>
      </c>
      <c r="F187" s="2" t="s">
        <v>8</v>
      </c>
      <c r="G187" s="2" t="s">
        <v>8</v>
      </c>
    </row>
    <row r="188" spans="1:64">
      <c r="A188" t="s">
        <v>197</v>
      </c>
      <c r="B188" s="2" t="s">
        <v>8</v>
      </c>
      <c r="C188" s="2" t="s">
        <v>8</v>
      </c>
      <c r="D188" s="2" t="s">
        <v>8</v>
      </c>
      <c r="E188" s="2" t="s">
        <v>8</v>
      </c>
      <c r="F188" s="2" t="s">
        <v>8</v>
      </c>
      <c r="G188" s="2" t="s">
        <v>8</v>
      </c>
    </row>
    <row r="189" spans="1:64">
      <c r="A189" t="s">
        <v>198</v>
      </c>
      <c r="B189" s="2" t="s">
        <v>8</v>
      </c>
      <c r="C189" s="2" t="s">
        <v>8</v>
      </c>
      <c r="D189" s="2" t="s">
        <v>8</v>
      </c>
      <c r="E189" s="2" t="s">
        <v>8</v>
      </c>
      <c r="F189" s="2" t="s">
        <v>8</v>
      </c>
      <c r="G189" s="2" t="s">
        <v>8</v>
      </c>
    </row>
    <row r="190" spans="1:64">
      <c r="A190" t="s">
        <v>199</v>
      </c>
      <c r="B190" s="2" t="s">
        <v>8</v>
      </c>
      <c r="C190" s="4" t="s">
        <v>8</v>
      </c>
      <c r="D190" s="2" t="s">
        <v>8</v>
      </c>
      <c r="E190" s="2" t="s">
        <v>8</v>
      </c>
      <c r="F190" s="2" t="s">
        <v>8</v>
      </c>
      <c r="G190" s="2" t="s">
        <v>8</v>
      </c>
    </row>
    <row r="191" spans="1:64">
      <c r="A191" t="s">
        <v>200</v>
      </c>
      <c r="B191" s="2" t="s">
        <v>10</v>
      </c>
      <c r="C191" s="2" t="s">
        <v>8</v>
      </c>
      <c r="D191" s="2" t="s">
        <v>8</v>
      </c>
      <c r="E191" s="2" t="s">
        <v>8</v>
      </c>
      <c r="F191" s="2" t="s">
        <v>8</v>
      </c>
      <c r="G191" s="2" t="s">
        <v>8</v>
      </c>
    </row>
    <row r="192" spans="1:64">
      <c r="A192" t="s">
        <v>201</v>
      </c>
      <c r="B192" s="2" t="s">
        <v>8</v>
      </c>
      <c r="C192" s="2" t="s">
        <v>8</v>
      </c>
      <c r="D192" s="2" t="s">
        <v>8</v>
      </c>
      <c r="E192" s="2" t="s">
        <v>8</v>
      </c>
      <c r="F192" s="2" t="s">
        <v>8</v>
      </c>
      <c r="G192" s="2" t="s">
        <v>8</v>
      </c>
    </row>
    <row r="193" spans="1:7">
      <c r="A193" t="s">
        <v>202</v>
      </c>
      <c r="B193" s="2" t="s">
        <v>8</v>
      </c>
      <c r="C193" s="2" t="s">
        <v>8</v>
      </c>
      <c r="D193" s="2" t="s">
        <v>8</v>
      </c>
      <c r="E193" s="2" t="s">
        <v>8</v>
      </c>
      <c r="F193" s="2" t="s">
        <v>8</v>
      </c>
      <c r="G193" s="4" t="s">
        <v>8</v>
      </c>
    </row>
    <row r="194" spans="1:7">
      <c r="A194" t="s">
        <v>203</v>
      </c>
      <c r="B194" s="2" t="s">
        <v>8</v>
      </c>
      <c r="C194" s="2" t="s">
        <v>8</v>
      </c>
      <c r="D194" s="2" t="s">
        <v>8</v>
      </c>
      <c r="E194" s="2" t="s">
        <v>8</v>
      </c>
      <c r="F194" s="2" t="s">
        <v>8</v>
      </c>
      <c r="G194" s="2" t="s">
        <v>8</v>
      </c>
    </row>
    <row r="195" spans="1:7">
      <c r="A195" t="s">
        <v>204</v>
      </c>
      <c r="B195" s="2" t="s">
        <v>10</v>
      </c>
      <c r="C195" s="2" t="s">
        <v>8</v>
      </c>
      <c r="D195" s="2" t="s">
        <v>10</v>
      </c>
      <c r="E195" s="2" t="s">
        <v>8</v>
      </c>
      <c r="F195" s="2" t="s">
        <v>8</v>
      </c>
      <c r="G195" s="2" t="s">
        <v>8</v>
      </c>
    </row>
    <row r="196" spans="1:7">
      <c r="A196" t="s">
        <v>205</v>
      </c>
      <c r="B196" s="2" t="s">
        <v>8</v>
      </c>
      <c r="C196" s="2" t="s">
        <v>8</v>
      </c>
      <c r="D196" s="2" t="s">
        <v>8</v>
      </c>
      <c r="E196" s="2" t="s">
        <v>8</v>
      </c>
      <c r="F196" s="2" t="s">
        <v>8</v>
      </c>
      <c r="G196" s="2" t="s">
        <v>8</v>
      </c>
    </row>
    <row r="197" spans="1:7">
      <c r="A197" t="s">
        <v>206</v>
      </c>
      <c r="B197" s="2" t="s">
        <v>10</v>
      </c>
      <c r="C197" s="2" t="s">
        <v>10</v>
      </c>
      <c r="D197" s="2" t="s">
        <v>8</v>
      </c>
      <c r="E197" s="2" t="s">
        <v>8</v>
      </c>
      <c r="F197" s="2" t="s">
        <v>10</v>
      </c>
      <c r="G197" s="2" t="s">
        <v>10</v>
      </c>
    </row>
    <row r="198" spans="1:7">
      <c r="A198" t="s">
        <v>207</v>
      </c>
      <c r="B198" s="2" t="s">
        <v>10</v>
      </c>
      <c r="C198" s="2" t="s">
        <v>8</v>
      </c>
      <c r="D198" s="2" t="s">
        <v>8</v>
      </c>
      <c r="E198" s="2" t="s">
        <v>8</v>
      </c>
      <c r="F198" s="2" t="s">
        <v>8</v>
      </c>
      <c r="G198" s="2" t="s">
        <v>8</v>
      </c>
    </row>
    <row r="199" spans="1:7">
      <c r="A199" t="s">
        <v>208</v>
      </c>
      <c r="B199" s="2" t="s">
        <v>8</v>
      </c>
      <c r="C199" s="2" t="s">
        <v>8</v>
      </c>
      <c r="D199" s="2" t="s">
        <v>8</v>
      </c>
      <c r="E199" s="2" t="s">
        <v>8</v>
      </c>
      <c r="F199" s="2" t="s">
        <v>8</v>
      </c>
      <c r="G199" s="2" t="s">
        <v>8</v>
      </c>
    </row>
    <row r="200" spans="1:7">
      <c r="A200" t="s">
        <v>209</v>
      </c>
      <c r="B200" s="2" t="s">
        <v>8</v>
      </c>
      <c r="C200" s="2" t="s">
        <v>8</v>
      </c>
      <c r="D200" s="2" t="s">
        <v>8</v>
      </c>
      <c r="E200" s="2" t="s">
        <v>8</v>
      </c>
      <c r="F200" s="2" t="s">
        <v>8</v>
      </c>
      <c r="G200" s="2" t="s">
        <v>8</v>
      </c>
    </row>
    <row r="201" spans="1:7">
      <c r="A201" t="s">
        <v>210</v>
      </c>
      <c r="B201" s="2" t="s">
        <v>8</v>
      </c>
      <c r="C201" s="2" t="s">
        <v>8</v>
      </c>
      <c r="D201" s="2" t="s">
        <v>8</v>
      </c>
      <c r="E201" s="2" t="s">
        <v>8</v>
      </c>
      <c r="F201" s="2" t="s">
        <v>8</v>
      </c>
      <c r="G201" s="2" t="s">
        <v>8</v>
      </c>
    </row>
    <row r="202" spans="1:7">
      <c r="A202" t="s">
        <v>211</v>
      </c>
      <c r="B202" s="2" t="s">
        <v>10</v>
      </c>
      <c r="C202" s="2" t="s">
        <v>10</v>
      </c>
      <c r="D202" s="2" t="s">
        <v>8</v>
      </c>
      <c r="E202" s="2" t="s">
        <v>8</v>
      </c>
      <c r="F202" s="2" t="s">
        <v>8</v>
      </c>
      <c r="G202" s="2" t="s">
        <v>8</v>
      </c>
    </row>
    <row r="203" spans="1:7">
      <c r="A203" t="s">
        <v>212</v>
      </c>
      <c r="B203" s="2" t="s">
        <v>8</v>
      </c>
      <c r="C203" s="2" t="s">
        <v>8</v>
      </c>
      <c r="D203" s="2" t="s">
        <v>8</v>
      </c>
      <c r="E203" s="2" t="s">
        <v>8</v>
      </c>
      <c r="F203" s="2" t="s">
        <v>8</v>
      </c>
      <c r="G203" s="2" t="s">
        <v>8</v>
      </c>
    </row>
    <row r="204" spans="1:7">
      <c r="A204" t="s">
        <v>213</v>
      </c>
      <c r="B204" s="2" t="s">
        <v>8</v>
      </c>
      <c r="C204" s="2" t="s">
        <v>8</v>
      </c>
      <c r="D204" s="2" t="s">
        <v>8</v>
      </c>
      <c r="E204" s="2" t="s">
        <v>8</v>
      </c>
      <c r="F204" s="2" t="s">
        <v>8</v>
      </c>
      <c r="G204" s="2" t="s">
        <v>8</v>
      </c>
    </row>
    <row r="205" spans="1:7">
      <c r="A205" t="s">
        <v>214</v>
      </c>
      <c r="B205" s="2" t="s">
        <v>8</v>
      </c>
      <c r="C205" s="2" t="s">
        <v>8</v>
      </c>
      <c r="D205" s="2" t="s">
        <v>8</v>
      </c>
      <c r="E205" s="2" t="s">
        <v>8</v>
      </c>
      <c r="F205" s="2" t="s">
        <v>8</v>
      </c>
      <c r="G205" s="2" t="s">
        <v>8</v>
      </c>
    </row>
    <row r="206" spans="1:7">
      <c r="A206" t="s">
        <v>215</v>
      </c>
      <c r="B206" s="2" t="s">
        <v>8</v>
      </c>
      <c r="C206" s="2" t="s">
        <v>8</v>
      </c>
      <c r="D206" s="2" t="s">
        <v>8</v>
      </c>
      <c r="E206" s="9" t="s">
        <v>10</v>
      </c>
      <c r="F206" s="2" t="s">
        <v>39</v>
      </c>
      <c r="G206" s="2" t="s">
        <v>8</v>
      </c>
    </row>
    <row r="207" spans="1:7">
      <c r="A207" t="s">
        <v>216</v>
      </c>
      <c r="B207" s="2" t="s">
        <v>8</v>
      </c>
      <c r="C207" s="2" t="s">
        <v>8</v>
      </c>
      <c r="D207" s="2" t="s">
        <v>8</v>
      </c>
      <c r="E207" s="2" t="s">
        <v>8</v>
      </c>
      <c r="F207" s="2" t="s">
        <v>8</v>
      </c>
      <c r="G207" s="2" t="s">
        <v>8</v>
      </c>
    </row>
    <row r="208" spans="1:7">
      <c r="A208" t="s">
        <v>217</v>
      </c>
      <c r="B208" s="2" t="s">
        <v>8</v>
      </c>
      <c r="C208" s="2" t="s">
        <v>8</v>
      </c>
      <c r="D208" s="2" t="s">
        <v>8</v>
      </c>
      <c r="E208" s="9" t="s">
        <v>10</v>
      </c>
      <c r="F208" s="2" t="s">
        <v>8</v>
      </c>
      <c r="G208" s="2" t="s">
        <v>8</v>
      </c>
    </row>
    <row r="209" spans="1:19">
      <c r="A209" t="s">
        <v>218</v>
      </c>
      <c r="B209" s="2" t="s">
        <v>8</v>
      </c>
      <c r="C209" s="2" t="s">
        <v>8</v>
      </c>
      <c r="D209" s="2" t="s">
        <v>8</v>
      </c>
      <c r="E209" s="2" t="s">
        <v>8</v>
      </c>
      <c r="F209" s="2" t="s">
        <v>8</v>
      </c>
      <c r="G209" s="2" t="s">
        <v>8</v>
      </c>
    </row>
    <row r="210" spans="1:19">
      <c r="A210" t="s">
        <v>219</v>
      </c>
      <c r="B210" s="2" t="s">
        <v>8</v>
      </c>
      <c r="C210" s="2" t="s">
        <v>8</v>
      </c>
      <c r="D210" s="2" t="s">
        <v>8</v>
      </c>
      <c r="E210" s="2" t="s">
        <v>8</v>
      </c>
      <c r="F210" s="2" t="s">
        <v>10</v>
      </c>
      <c r="G210" s="2" t="s">
        <v>8</v>
      </c>
    </row>
    <row r="211" spans="1:19">
      <c r="A211" t="s">
        <v>220</v>
      </c>
      <c r="B211" s="2" t="s">
        <v>8</v>
      </c>
      <c r="C211" s="2" t="s">
        <v>8</v>
      </c>
      <c r="D211" s="2" t="s">
        <v>8</v>
      </c>
      <c r="E211" s="2" t="s">
        <v>8</v>
      </c>
      <c r="F211" s="2" t="s">
        <v>8</v>
      </c>
      <c r="G211" s="2" t="s">
        <v>8</v>
      </c>
    </row>
    <row r="212" spans="1:19">
      <c r="A212" t="s">
        <v>221</v>
      </c>
      <c r="B212" s="2" t="s">
        <v>8</v>
      </c>
      <c r="C212" s="2" t="s">
        <v>8</v>
      </c>
      <c r="D212" s="2" t="s">
        <v>8</v>
      </c>
      <c r="E212" s="2" t="s">
        <v>8</v>
      </c>
      <c r="F212" s="2" t="s">
        <v>8</v>
      </c>
      <c r="G212" s="2" t="s">
        <v>8</v>
      </c>
    </row>
    <row r="213" spans="1:19">
      <c r="A213" t="s">
        <v>222</v>
      </c>
      <c r="B213" s="2" t="s">
        <v>8</v>
      </c>
      <c r="C213" s="2" t="s">
        <v>8</v>
      </c>
      <c r="D213" s="2" t="s">
        <v>8</v>
      </c>
      <c r="E213" s="2" t="s">
        <v>8</v>
      </c>
      <c r="F213" s="2" t="s">
        <v>8</v>
      </c>
      <c r="G213" s="2" t="s">
        <v>8</v>
      </c>
    </row>
    <row r="214" spans="1:19">
      <c r="A214" t="s">
        <v>223</v>
      </c>
      <c r="B214" s="2" t="s">
        <v>8</v>
      </c>
      <c r="C214" s="2" t="s">
        <v>8</v>
      </c>
      <c r="D214" s="2" t="s">
        <v>8</v>
      </c>
      <c r="E214" s="2" t="s">
        <v>8</v>
      </c>
      <c r="F214" s="2" t="s">
        <v>10</v>
      </c>
      <c r="G214" s="2" t="s">
        <v>10</v>
      </c>
    </row>
    <row r="215" spans="1:19">
      <c r="A215" t="s">
        <v>224</v>
      </c>
      <c r="B215" s="2" t="s">
        <v>8</v>
      </c>
      <c r="C215" s="2" t="s">
        <v>8</v>
      </c>
      <c r="D215" s="2" t="s">
        <v>8</v>
      </c>
      <c r="E215" s="2" t="s">
        <v>8</v>
      </c>
      <c r="F215" s="2" t="s">
        <v>8</v>
      </c>
      <c r="G215" s="2" t="s">
        <v>8</v>
      </c>
    </row>
    <row r="216" spans="1:19">
      <c r="A216" t="s">
        <v>225</v>
      </c>
      <c r="B216" s="2" t="s">
        <v>8</v>
      </c>
      <c r="C216" s="2" t="s">
        <v>8</v>
      </c>
      <c r="D216" s="2" t="s">
        <v>8</v>
      </c>
      <c r="E216" s="2" t="s">
        <v>8</v>
      </c>
      <c r="F216" s="2" t="s">
        <v>8</v>
      </c>
      <c r="G216" s="2" t="s">
        <v>8</v>
      </c>
    </row>
    <row r="217" spans="1:19">
      <c r="A217" t="s">
        <v>226</v>
      </c>
      <c r="B217" s="2" t="s">
        <v>8</v>
      </c>
      <c r="C217" s="2" t="s">
        <v>8</v>
      </c>
      <c r="D217" s="2" t="s">
        <v>8</v>
      </c>
      <c r="E217" s="2" t="s">
        <v>8</v>
      </c>
      <c r="F217" s="2" t="s">
        <v>8</v>
      </c>
      <c r="G217" s="2" t="s">
        <v>8</v>
      </c>
    </row>
    <row r="218" spans="1:19">
      <c r="A218" t="s">
        <v>227</v>
      </c>
      <c r="B218" s="2" t="s">
        <v>8</v>
      </c>
      <c r="C218" s="2" t="s">
        <v>8</v>
      </c>
      <c r="D218" s="2" t="s">
        <v>8</v>
      </c>
      <c r="E218" s="2" t="s">
        <v>8</v>
      </c>
      <c r="F218" s="2" t="s">
        <v>8</v>
      </c>
      <c r="G218" s="2" t="s">
        <v>8</v>
      </c>
    </row>
    <row r="219" spans="1:19">
      <c r="A219" t="s">
        <v>228</v>
      </c>
      <c r="B219" s="2" t="s">
        <v>8</v>
      </c>
      <c r="C219" s="2" t="s">
        <v>8</v>
      </c>
      <c r="D219" s="2" t="s">
        <v>8</v>
      </c>
      <c r="E219" s="2" t="s">
        <v>8</v>
      </c>
      <c r="F219" s="2" t="s">
        <v>8</v>
      </c>
      <c r="G219" s="2" t="s">
        <v>8</v>
      </c>
    </row>
    <row r="220" spans="1:19">
      <c r="A220" t="s">
        <v>229</v>
      </c>
      <c r="B220" s="2" t="s">
        <v>8</v>
      </c>
      <c r="C220" s="2" t="s">
        <v>8</v>
      </c>
      <c r="D220" s="2" t="s">
        <v>8</v>
      </c>
      <c r="E220" s="2" t="s">
        <v>8</v>
      </c>
      <c r="F220" s="2" t="s">
        <v>8</v>
      </c>
      <c r="G220" s="2" t="s">
        <v>8</v>
      </c>
    </row>
    <row r="221" spans="1:19">
      <c r="A221" t="s">
        <v>230</v>
      </c>
      <c r="B221" s="2" t="s">
        <v>8</v>
      </c>
      <c r="C221" s="2" t="s">
        <v>8</v>
      </c>
      <c r="D221" s="2" t="s">
        <v>8</v>
      </c>
      <c r="E221" s="2" t="s">
        <v>8</v>
      </c>
      <c r="F221" s="2" t="s">
        <v>8</v>
      </c>
      <c r="G221" s="2" t="s">
        <v>8</v>
      </c>
    </row>
    <row r="222" spans="1:19">
      <c r="A222" t="s">
        <v>231</v>
      </c>
      <c r="B222" s="2" t="s">
        <v>8</v>
      </c>
      <c r="C222" s="2" t="s">
        <v>8</v>
      </c>
      <c r="D222" s="2" t="s">
        <v>8</v>
      </c>
      <c r="E222" s="2" t="s">
        <v>8</v>
      </c>
      <c r="F222" s="2" t="s">
        <v>8</v>
      </c>
      <c r="G222" s="2" t="s">
        <v>8</v>
      </c>
    </row>
    <row r="223" spans="1:19">
      <c r="A223" s="5" t="s">
        <v>232</v>
      </c>
      <c r="B223" s="7" t="s">
        <v>8</v>
      </c>
      <c r="C223" s="7" t="s">
        <v>8</v>
      </c>
      <c r="D223" s="7" t="s">
        <v>8</v>
      </c>
      <c r="E223" s="7" t="s">
        <v>8</v>
      </c>
      <c r="F223" s="7" t="s">
        <v>8</v>
      </c>
      <c r="G223" s="7" t="s">
        <v>8</v>
      </c>
    </row>
    <row r="224" spans="1:19">
      <c r="A224" t="s">
        <v>233</v>
      </c>
      <c r="B224" s="4" cm="1">
        <f t="array" aca="1" ref="B224" ca="1">SUM(COUNTIF(Final_evaluation!$B$2:'Final_evaluation'!$B$16, {"&lt;&gt;correct"}))</f>
        <v>9</v>
      </c>
      <c r="C224" s="4" cm="1">
        <f t="array" aca="1" ref="C224" ca="1">SUM(COUNTIF(Final_evaluation!$C$2:'Final_evaluation'!$C$16, {"&lt;&gt;correct"}))</f>
        <v>11</v>
      </c>
      <c r="D224" s="4" cm="1">
        <f t="array" aca="1" ref="D224" ca="1">SUM(COUNTIF(Final_evaluation!$D$2:'Final_evaluation'!$D$16, {"&lt;&gt;correct"}))</f>
        <v>5</v>
      </c>
      <c r="E224" s="4" cm="1">
        <f t="array" aca="1" ref="E224" ca="1">SUM(COUNTIF(Final_evaluation!$E$2:'Final_evaluation'!$E$16, {"&lt;&gt;correct"}))</f>
        <v>0</v>
      </c>
      <c r="F224" s="4" cm="1">
        <f t="array" aca="1" ref="F224" ca="1">SUM(COUNTIF(Final_evaluation!$F$2:'Final_evaluation'!$F$16, {"&lt;&gt;correct"}))</f>
        <v>3</v>
      </c>
      <c r="G224" s="4" cm="1">
        <f t="array" aca="1" ref="G224" ca="1">SUM(COUNTIF(Final_evaluation!$G$2:'Final_evaluation'!$G$16, {"&lt;&gt;correct"}))</f>
        <v>2</v>
      </c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</row>
    <row r="225" spans="1:19">
      <c r="A225" t="s">
        <v>234</v>
      </c>
      <c r="B225" s="4" cm="1">
        <f t="array" aca="1" ref="B225" ca="1">SUM(COUNTIF(Final_evaluation!$B$17:'Final_evaluation'!$B$31, {"&lt;&gt;correct"}))</f>
        <v>3</v>
      </c>
      <c r="C225" s="4" cm="1">
        <f t="array" aca="1" ref="C225" ca="1">SUM(COUNTIF(Final_evaluation!$C$17:'Final_evaluation'!$C$31, {"&lt;&gt;correct"}))</f>
        <v>2</v>
      </c>
      <c r="D225" s="4" cm="1">
        <f t="array" aca="1" ref="D225" ca="1">SUM(COUNTIF(Final_evaluation!$D$17:'Final_evaluation'!$D$31, {"&lt;&gt;correct"}))</f>
        <v>3</v>
      </c>
      <c r="E225" s="4" cm="1">
        <f t="array" aca="1" ref="E225" ca="1">SUM(COUNTIF(Final_evaluation!$E$17:'Final_evaluation'!$E$31, {"&lt;&gt;correct"}))</f>
        <v>3</v>
      </c>
      <c r="F225" s="4" cm="1">
        <f t="array" aca="1" ref="F225" ca="1">SUM(COUNTIF(Final_evaluation!$F$17:'Final_evaluation'!$F$31, {"&lt;&gt;correct"}))</f>
        <v>4</v>
      </c>
      <c r="G225" s="4" cm="1">
        <f t="array" aca="1" ref="G225" ca="1">SUM(COUNTIF(Final_evaluation!$G$17:'Final_evaluation'!$G$31, {"&lt;&gt;correct"}))</f>
        <v>3</v>
      </c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</row>
    <row r="226" spans="1:19">
      <c r="A226" t="s">
        <v>235</v>
      </c>
      <c r="B226" s="4" cm="1">
        <f t="array" aca="1" ref="B226" ca="1">SUM(COUNTIF(Final_evaluation!$B$32:'Final_evaluation'!$B$46, {"&lt;&gt;correct"}))</f>
        <v>10</v>
      </c>
      <c r="C226" s="4" cm="1">
        <f t="array" aca="1" ref="C226" ca="1">SUM(COUNTIF(Final_evaluation!$C$32:'Final_evaluation'!$C$46, {"&lt;&gt;correct"}))</f>
        <v>10</v>
      </c>
      <c r="D226" s="4" cm="1">
        <f t="array" aca="1" ref="D226" ca="1">SUM(COUNTIF(Final_evaluation!$D$32:'Final_evaluation'!$D$46, {"&lt;&gt;correct"}))</f>
        <v>5</v>
      </c>
      <c r="E226" s="4" cm="1">
        <f t="array" aca="1" ref="E226" ca="1">SUM(COUNTIF(Final_evaluation!$E$32:'Final_evaluation'!$E$46, {"&lt;&gt;correct"}))</f>
        <v>5</v>
      </c>
      <c r="F226" s="4" cm="1">
        <f t="array" aca="1" ref="F226" ca="1">SUM(COUNTIF(Final_evaluation!$F$32:'Final_evaluation'!$F$46, {"&lt;&gt;correct"}))</f>
        <v>3</v>
      </c>
      <c r="G226" s="4" cm="1">
        <f t="array" aca="1" ref="G226" ca="1">SUM(COUNTIF(Final_evaluation!$G$32:'Final_evaluation'!$G$46, {"&lt;&gt;correct"}))</f>
        <v>5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</row>
    <row r="227" spans="1:19">
      <c r="A227" t="s">
        <v>236</v>
      </c>
      <c r="B227" s="4" cm="1">
        <f t="array" aca="1" ref="B227" ca="1">SUM(COUNTIF(Final_evaluation!$B$47:'Final_evaluation'!$B$61, {"&lt;&gt;correct"}))</f>
        <v>10</v>
      </c>
      <c r="C227" s="4" cm="1">
        <f t="array" aca="1" ref="C227" ca="1">SUM(COUNTIF(Final_evaluation!$C$47:'Final_evaluation'!$C$61, {"&lt;&gt;correct"}))</f>
        <v>9</v>
      </c>
      <c r="D227" s="4" cm="1">
        <f t="array" aca="1" ref="D227" ca="1">SUM(COUNTIF(Final_evaluation!$D$47:'Final_evaluation'!$D$61, {"&lt;&gt;correct"}))</f>
        <v>14</v>
      </c>
      <c r="E227" s="4" cm="1">
        <f t="array" aca="1" ref="E227" ca="1">SUM(COUNTIF(Final_evaluation!$E$47:'Final_evaluation'!$E$61, {"&lt;&gt;correct"}))</f>
        <v>12</v>
      </c>
      <c r="F227" s="4" cm="1">
        <f t="array" aca="1" ref="F227" ca="1">SUM(COUNTIF(Final_evaluation!$F$47:'Final_evaluation'!$F$61, {"&lt;&gt;correct"}))</f>
        <v>11</v>
      </c>
      <c r="G227" s="4" cm="1">
        <f t="array" aca="1" ref="G227" ca="1">SUM(COUNTIF(Final_evaluation!$G$47:'Final_evaluation'!$G$61, {"&lt;&gt;correct"}))</f>
        <v>6</v>
      </c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</row>
    <row r="228" spans="1:19">
      <c r="A228" t="s">
        <v>237</v>
      </c>
      <c r="B228" s="4" cm="1">
        <f t="array" aca="1" ref="B228" ca="1">SUM(COUNTIF(Final_evaluation!$B$62:'Final_evaluation'!$B$76, {"&lt;&gt;correct"}))</f>
        <v>5</v>
      </c>
      <c r="C228" s="4" cm="1">
        <f t="array" aca="1" ref="C228" ca="1">SUM(COUNTIF(Final_evaluation!$C$62:'Final_evaluation'!$C$76, {"&lt;&gt;correct"}))</f>
        <v>4</v>
      </c>
      <c r="D228" s="4" cm="1">
        <f t="array" aca="1" ref="D228" ca="1">SUM(COUNTIF(Final_evaluation!$D$62:'Final_evaluation'!$D$76, {"&lt;&gt;correct"}))</f>
        <v>2</v>
      </c>
      <c r="E228" s="4" cm="1">
        <f t="array" aca="1" ref="E228" ca="1">SUM(COUNTIF(Final_evaluation!$E$62:'Final_evaluation'!$E$76, {"&lt;&gt;correct"}))</f>
        <v>1</v>
      </c>
      <c r="F228" s="4" cm="1">
        <f t="array" aca="1" ref="F228" ca="1">SUM(COUNTIF(Final_evaluation!$F$62:'Final_evaluation'!$F$76, {"&lt;&gt;correct"}))</f>
        <v>2</v>
      </c>
      <c r="G228" s="4" cm="1">
        <f t="array" aca="1" ref="G228" ca="1">SUM(COUNTIF(Final_evaluation!$G$62:'Final_evaluation'!$G$76, {"&lt;&gt;correct"}))</f>
        <v>3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</row>
    <row r="229" spans="1:19">
      <c r="A229" t="s">
        <v>238</v>
      </c>
      <c r="B229" s="4" cm="1">
        <f t="array" aca="1" ref="B229" ca="1">SUM(COUNTIF(Final_evaluation!$B$77:'Final_evaluation'!$B$91, {"&lt;&gt;correct"}))</f>
        <v>7</v>
      </c>
      <c r="C229" s="4" cm="1">
        <f t="array" aca="1" ref="C229" ca="1">SUM(COUNTIF(Final_evaluation!$C$77:'Final_evaluation'!$C$91, {"&lt;&gt;correct"}))</f>
        <v>2</v>
      </c>
      <c r="D229" s="4" cm="1">
        <f t="array" aca="1" ref="D229" ca="1">SUM(COUNTIF(Final_evaluation!$D$77:'Final_evaluation'!$D$91, {"&lt;&gt;correct"}))</f>
        <v>8</v>
      </c>
      <c r="E229" s="4" cm="1">
        <f t="array" aca="1" ref="E229" ca="1">SUM(COUNTIF(Final_evaluation!$E$77:'Final_evaluation'!$E$91, {"&lt;&gt;correct"}))</f>
        <v>5</v>
      </c>
      <c r="F229" s="4" cm="1">
        <f t="array" aca="1" ref="F229" ca="1">SUM(COUNTIF(Final_evaluation!$F$77:'Final_evaluation'!$F$91, {"&lt;&gt;correct"}))</f>
        <v>4</v>
      </c>
      <c r="G229" s="4" cm="1">
        <f t="array" aca="1" ref="G229" ca="1">SUM(COUNTIF(Final_evaluation!$G$77:'Final_evaluation'!$G$91, {"&lt;&gt;correct"}))</f>
        <v>1</v>
      </c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</row>
    <row r="230" spans="1:19">
      <c r="A230" t="s">
        <v>239</v>
      </c>
      <c r="B230" s="4" cm="1">
        <f t="array" aca="1" ref="B230" ca="1">SUM(COUNTIF(Final_evaluation!$B$92:'Final_evaluation'!$B$106, {"&lt;&gt;correct"}))</f>
        <v>7</v>
      </c>
      <c r="C230" s="4" cm="1">
        <f t="array" aca="1" ref="C230" ca="1">SUM(COUNTIF(Final_evaluation!$C$92:'Final_evaluation'!$C$106, {"&lt;&gt;correct"}))</f>
        <v>3</v>
      </c>
      <c r="D230" s="4" cm="1">
        <f t="array" aca="1" ref="D230" ca="1">SUM(COUNTIF(Final_evaluation!$D$92:'Final_evaluation'!$D$106, {"&lt;&gt;correct"}))</f>
        <v>5</v>
      </c>
      <c r="E230" s="4" cm="1">
        <f t="array" aca="1" ref="E230" ca="1">SUM(COUNTIF(Final_evaluation!$E$92:'Final_evaluation'!$E$106, {"&lt;&gt;correct"}))</f>
        <v>2</v>
      </c>
      <c r="F230" s="4" cm="1">
        <f t="array" aca="1" ref="F230" ca="1">SUM(COUNTIF(Final_evaluation!$F$92:'Final_evaluation'!$F$106, {"&lt;&gt;correct"}))</f>
        <v>5</v>
      </c>
      <c r="G230" s="4" cm="1">
        <f t="array" aca="1" ref="G230" ca="1">SUM(COUNTIF(Final_evaluation!$G$92:'Final_evaluation'!$G$106, {"&lt;&gt;correct"}))</f>
        <v>2</v>
      </c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</row>
    <row r="231" spans="1:19">
      <c r="A231" t="s">
        <v>240</v>
      </c>
      <c r="B231" s="4" cm="1">
        <f t="array" aca="1" ref="B231" ca="1">SUM(COUNTIF(Final_evaluation!$B$107:'Final_evaluation'!$B$121, {"&lt;&gt;correct"}))</f>
        <v>5</v>
      </c>
      <c r="C231" s="4" cm="1">
        <f t="array" aca="1" ref="C231" ca="1">SUM(COUNTIF(Final_evaluation!$C$107:'Final_evaluation'!$C$121, {"&lt;&gt;correct"}))</f>
        <v>3</v>
      </c>
      <c r="D231" s="4" cm="1">
        <f t="array" aca="1" ref="D231" ca="1">SUM(COUNTIF(Final_evaluation!$D$107:'Final_evaluation'!$D$121, {"&lt;&gt;correct"}))</f>
        <v>7</v>
      </c>
      <c r="E231" s="4" cm="1">
        <f t="array" aca="1" ref="E231" ca="1">SUM(COUNTIF(Final_evaluation!$E$107:'Final_evaluation'!$E$121, {"&lt;&gt;correct"}))</f>
        <v>6</v>
      </c>
      <c r="F231" s="4" cm="1">
        <f t="array" aca="1" ref="F231" ca="1">SUM(COUNTIF(Final_evaluation!$F$107:'Final_evaluation'!$F$121, {"&lt;&gt;correct"}))</f>
        <v>11</v>
      </c>
      <c r="G231" s="4" cm="1">
        <f t="array" aca="1" ref="G231" ca="1">SUM(COUNTIF(Final_evaluation!$G$107:'Final_evaluation'!$G$121, {"&lt;&gt;correct"}))</f>
        <v>8</v>
      </c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</row>
    <row r="232" spans="1:19">
      <c r="A232" t="s">
        <v>241</v>
      </c>
      <c r="B232" s="4" cm="1">
        <f t="array" aca="1" ref="B232" ca="1">SUM(COUNTIF(Final_evaluation!$B$122:'Final_evaluation'!$B$136, {"&lt;&gt;correct"}))</f>
        <v>7</v>
      </c>
      <c r="C232" s="4" cm="1">
        <f t="array" aca="1" ref="C232" ca="1">SUM(COUNTIF(Final_evaluation!$C$122:'Final_evaluation'!$C$136, {"&lt;&gt;correct"}))</f>
        <v>10</v>
      </c>
      <c r="D232" s="4" cm="1">
        <f t="array" aca="1" ref="D232" ca="1">SUM(COUNTIF(Final_evaluation!$D$122:'Final_evaluation'!$D$136, {"&lt;&gt;correct"}))</f>
        <v>5</v>
      </c>
      <c r="E232" s="4" cm="1">
        <f t="array" aca="1" ref="E232" ca="1">SUM(COUNTIF(Final_evaluation!$E$122:'Final_evaluation'!$E$136, {"&lt;&gt;correct"}))</f>
        <v>2</v>
      </c>
      <c r="F232" s="4" cm="1">
        <f t="array" aca="1" ref="F232" ca="1">SUM(COUNTIF(Final_evaluation!$F$122:'Final_evaluation'!$F$136, {"&lt;&gt;correct"}))</f>
        <v>4</v>
      </c>
      <c r="G232" s="4" cm="1">
        <f t="array" aca="1" ref="G232" ca="1">SUM(COUNTIF(Final_evaluation!$G$122:'Final_evaluation'!$G$136, {"&lt;&gt;correct"}))</f>
        <v>3</v>
      </c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</row>
    <row r="233" spans="1:19">
      <c r="A233" t="s">
        <v>242</v>
      </c>
      <c r="B233" s="4" cm="1">
        <f t="array" aca="1" ref="B233" ca="1">SUM(COUNTIF(Final_evaluation!$B$137:'Final_evaluation'!$B$151, {"&lt;&gt;correct"}))</f>
        <v>9</v>
      </c>
      <c r="C233" s="4" cm="1">
        <f t="array" aca="1" ref="C233" ca="1">SUM(COUNTIF(Final_evaluation!$C$137:'Final_evaluation'!$C$151, {"&lt;&gt;correct"}))</f>
        <v>8</v>
      </c>
      <c r="D233" s="4" cm="1">
        <f t="array" aca="1" ref="D233" ca="1">SUM(COUNTIF(Final_evaluation!$D$137:'Final_evaluation'!$D$151, {"&lt;&gt;correct"}))</f>
        <v>12</v>
      </c>
      <c r="E233" s="4" cm="1">
        <f t="array" aca="1" ref="E233" ca="1">SUM(COUNTIF(Final_evaluation!$E$137:'Final_evaluation'!$E$151, {"&lt;&gt;correct"}))</f>
        <v>11</v>
      </c>
      <c r="F233" s="4" cm="1">
        <f t="array" aca="1" ref="F233" ca="1">SUM(COUNTIF(Final_evaluation!$F$137:'Final_evaluation'!$F$151, {"&lt;&gt;correct"}))</f>
        <v>6</v>
      </c>
      <c r="G233" s="4" cm="1">
        <f t="array" aca="1" ref="G233" ca="1">SUM(COUNTIF(Final_evaluation!$G$137:'Final_evaluation'!$G$151, {"&lt;&gt;correct"}))</f>
        <v>7</v>
      </c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</row>
    <row r="234" spans="1:19">
      <c r="A234" t="s">
        <v>243</v>
      </c>
      <c r="B234" s="4" cm="1">
        <f t="array" aca="1" ref="B234" ca="1">SUM(COUNTIF(Final_evaluation!$B$152:'Final_evaluation'!$B$167, {"&lt;&gt;correct"}))</f>
        <v>7</v>
      </c>
      <c r="C234" s="4" cm="1">
        <f t="array" aca="1" ref="C234" ca="1">SUM(COUNTIF(Final_evaluation!$C$152:'Final_evaluation'!$C$167, {"&lt;&gt;correct"}))</f>
        <v>6</v>
      </c>
      <c r="D234" s="4" cm="1">
        <f t="array" aca="1" ref="D234" ca="1">SUM(COUNTIF(Final_evaluation!$D$152:'Final_evaluation'!$D$167, {"&lt;&gt;correct"}))</f>
        <v>4</v>
      </c>
      <c r="E234" s="4" cm="1">
        <f t="array" aca="1" ref="E234" ca="1">SUM(COUNTIF(Final_evaluation!$E$152:'Final_evaluation'!$E$167, {"&lt;&gt;correct"}))</f>
        <v>2</v>
      </c>
      <c r="F234" s="4" cm="1">
        <f t="array" aca="1" ref="F234" ca="1">SUM(COUNTIF(Final_evaluation!$F$152:'Final_evaluation'!$F$167, {"&lt;&gt;correct"}))</f>
        <v>3</v>
      </c>
      <c r="G234" s="4" cm="1">
        <f t="array" aca="1" ref="G234" ca="1">SUM(COUNTIF(Final_evaluation!$G$152:'Final_evaluation'!$G$167, {"&lt;&gt;correct"}))</f>
        <v>4</v>
      </c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</row>
    <row r="235" spans="1:19">
      <c r="A235" s="2" t="s">
        <v>244</v>
      </c>
      <c r="B235" s="4" cm="1">
        <f t="array" aca="1" ref="B235" ca="1">SUM(COUNTIF(Final_evaluation!$B$168:'Final_evaluation'!$B$183, {"&lt;&gt;correct"}))</f>
        <v>8</v>
      </c>
      <c r="C235" s="4" cm="1">
        <f t="array" aca="1" ref="C235" ca="1">SUM(COUNTIF(Final_evaluation!$C$168:'Final_evaluation'!$C$183, {"&lt;&gt;correct"}))</f>
        <v>6</v>
      </c>
      <c r="D235" s="4" cm="1">
        <f t="array" aca="1" ref="D235" ca="1">SUM(COUNTIF(Final_evaluation!$D$168:'Final_evaluation'!$D$183, {"&lt;&gt;correct"}))</f>
        <v>11</v>
      </c>
      <c r="E235" s="4" cm="1">
        <f t="array" aca="1" ref="E235" ca="1">SUM(COUNTIF(Final_evaluation!$E$168:'Final_evaluation'!$E$183, {"&lt;&gt;correct"}))</f>
        <v>10</v>
      </c>
      <c r="F235" s="4" cm="1">
        <f t="array" aca="1" ref="F235" ca="1">SUM(COUNTIF(Final_evaluation!$F$168:'Final_evaluation'!$F$183, {"&lt;&gt;correct"}))</f>
        <v>9</v>
      </c>
      <c r="G235" s="4" cm="1">
        <f t="array" aca="1" ref="G235" ca="1">SUM(COUNTIF(Final_evaluation!$G$168:'Final_evaluation'!$G$183, {"&lt;&gt;correct"}))</f>
        <v>6</v>
      </c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</row>
    <row r="236" spans="1:19">
      <c r="A236" t="s">
        <v>245</v>
      </c>
      <c r="B236" s="4" cm="1">
        <f t="array" aca="1" ref="B236" ca="1">SUM(COUNTIF(Final_evaluation!$B$184:'Final_evaluation'!$B$203, {"&lt;&gt;correct"}))</f>
        <v>6</v>
      </c>
      <c r="C236" s="4" cm="1">
        <f t="array" aca="1" ref="C236" ca="1">SUM(COUNTIF(Final_evaluation!$C$184:'Final_evaluation'!$C$203, {"&lt;&gt;correct"}))</f>
        <v>3</v>
      </c>
      <c r="D236" s="4" cm="1">
        <f t="array" aca="1" ref="D236" ca="1">SUM(COUNTIF(Final_evaluation!$D$184:'Final_evaluation'!$D$203, {"&lt;&gt;correct"}))</f>
        <v>1</v>
      </c>
      <c r="E236" s="4" cm="1">
        <f t="array" aca="1" ref="E236" ca="1">SUM(COUNTIF(Final_evaluation!$E$184:'Final_evaluation'!$E$203, {"&lt;&gt;correct"}))</f>
        <v>0</v>
      </c>
      <c r="F236" s="4" cm="1">
        <f t="array" aca="1" ref="F236" ca="1">SUM(COUNTIF(Final_evaluation!$F$184:'Final_evaluation'!$F$203, {"&lt;&gt;correct"}))</f>
        <v>1</v>
      </c>
      <c r="G236" s="4" cm="1">
        <f t="array" aca="1" ref="G236" ca="1">SUM(COUNTIF(Final_evaluation!$G$184:'Final_evaluation'!$G$203, {"&lt;&gt;correct"}))</f>
        <v>1</v>
      </c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</row>
    <row r="237" spans="1:19">
      <c r="A237" s="5" t="s">
        <v>246</v>
      </c>
      <c r="B237" s="6" cm="1">
        <f t="array" aca="1" ref="B237" ca="1">SUM(COUNTIF(Final_evaluation!$B$204:'Final_evaluation'!$B$223, {"&lt;&gt;correct"}))</f>
        <v>0</v>
      </c>
      <c r="C237" s="6" cm="1">
        <f t="array" aca="1" ref="C237" ca="1">SUM(COUNTIF(Final_evaluation!$C$204:'Final_evaluation'!$C$223, {"&lt;&gt;correct"}))</f>
        <v>0</v>
      </c>
      <c r="D237" s="6" cm="1">
        <f t="array" aca="1" ref="D237" ca="1">SUM(COUNTIF(Final_evaluation!$D$204:'Final_evaluation'!$D$223, {"&lt;&gt;correct"}))</f>
        <v>0</v>
      </c>
      <c r="E237" s="6" cm="1">
        <f t="array" aca="1" ref="E237" ca="1">SUM(COUNTIF(Final_evaluation!$E$204:'Final_evaluation'!$E$223, {"&lt;&gt;correct"}))</f>
        <v>2</v>
      </c>
      <c r="F237" s="6" cm="1">
        <f t="array" aca="1" ref="F237" ca="1">SUM(COUNTIF(Final_evaluation!$F$204:'Final_evaluation'!$F$223, {"&lt;&gt;correct"}))</f>
        <v>3</v>
      </c>
      <c r="G237" s="6" cm="1">
        <f t="array" aca="1" ref="G237" ca="1">SUM(COUNTIF(Final_evaluation!$G$204:'Final_evaluation'!$G$223, {"&lt;&gt;correct"}))</f>
        <v>1</v>
      </c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</row>
    <row r="238" spans="1:19">
      <c r="A238" s="2" t="s">
        <v>247</v>
      </c>
      <c r="B238" s="2" cm="1">
        <f t="array" ref="B238">SUM(COUNTIF($B$2:$B$31, {"correct"}))</f>
        <v>18</v>
      </c>
      <c r="C238" s="2" cm="1">
        <f t="array" ref="C238">SUM(COUNTIF($C$2:$C$31, {"correct"}))</f>
        <v>17</v>
      </c>
      <c r="D238" s="2" cm="1">
        <f t="array" ref="D238">SUM(COUNTIF($D$2:$D$31, {"correct"}))</f>
        <v>22</v>
      </c>
      <c r="E238" s="2" cm="1">
        <f t="array" ref="E238">SUM(COUNTIF($E$2:$E$31, {"correct"}))</f>
        <v>27</v>
      </c>
      <c r="F238" s="2" cm="1">
        <f t="array" ref="F238">SUM(COUNTIF($F$2:$F$31, {"correct"}))</f>
        <v>23</v>
      </c>
      <c r="G238" s="2" cm="1">
        <f t="array" ref="G238">SUM(COUNTIF($G$2:$G$31, {"correct"}))</f>
        <v>25</v>
      </c>
    </row>
    <row r="239" spans="1:19">
      <c r="A239" s="2" t="s">
        <v>248</v>
      </c>
      <c r="B239" s="4">
        <f xml:space="preserve"> B238/ COUNTA($B$2:$B$31)</f>
        <v>0.6</v>
      </c>
      <c r="C239" s="4">
        <f xml:space="preserve"> C238/ COUNTA($C$2:$C$31)</f>
        <v>0.56666666666666665</v>
      </c>
      <c r="D239" s="4">
        <f xml:space="preserve"> D238/ COUNTA($D$2:$D$31)</f>
        <v>0.73333333333333328</v>
      </c>
      <c r="E239" s="4">
        <f xml:space="preserve"> E238/ COUNTA($E$2:$E$31)</f>
        <v>0.9</v>
      </c>
      <c r="F239" s="4">
        <f xml:space="preserve"> F238/ COUNTA($F$2:$F$31)</f>
        <v>0.76666666666666672</v>
      </c>
      <c r="G239" s="4">
        <f xml:space="preserve"> G238/ COUNTA($G$2:$G$31)</f>
        <v>0.83333333333333337</v>
      </c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</row>
    <row r="240" spans="1:19">
      <c r="A240" s="2" t="s">
        <v>249</v>
      </c>
      <c r="B240" s="4" cm="1">
        <f t="array" ref="B240">SUM(COUNTIF($B$32:$B$61, {"correct"}))</f>
        <v>10</v>
      </c>
      <c r="C240" s="4" cm="1">
        <f t="array" ref="C240">SUM(COUNTIF($C$32:$C$61, {"correct"}))</f>
        <v>11</v>
      </c>
      <c r="D240" s="4" cm="1">
        <f t="array" ref="D240">SUM(COUNTIF($D$32:$D$61, {"correct"}))</f>
        <v>11</v>
      </c>
      <c r="E240" s="4" cm="1">
        <f t="array" ref="E240">SUM(COUNTIF($E$32:$E$61, {"correct"}))</f>
        <v>13</v>
      </c>
      <c r="F240" s="4" cm="1">
        <f t="array" ref="F240">SUM(COUNTIF($F$32:$F$61, {"correct"}))</f>
        <v>16</v>
      </c>
      <c r="G240" s="4" cm="1">
        <f t="array" ref="G240">SUM(COUNTIF($G$32:$G$61, {"correct"}))</f>
        <v>19</v>
      </c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</row>
    <row r="241" spans="1:19">
      <c r="A241" s="2" t="s">
        <v>250</v>
      </c>
      <c r="B241" s="4">
        <f xml:space="preserve"> B240/ COUNTA($B$32:$B$61)</f>
        <v>0.33333333333333331</v>
      </c>
      <c r="C241" s="4">
        <f xml:space="preserve"> C240/ COUNTA($C$32:$C$61)</f>
        <v>0.36666666666666664</v>
      </c>
      <c r="D241" s="4">
        <f xml:space="preserve"> D240/ COUNTA($D$32:$D$61)</f>
        <v>0.36666666666666664</v>
      </c>
      <c r="E241" s="4">
        <f xml:space="preserve"> E240/ COUNTA($E$32:$E$61)</f>
        <v>0.43333333333333335</v>
      </c>
      <c r="F241" s="4">
        <f xml:space="preserve"> F240/ COUNTA($F$32:$F$61)</f>
        <v>0.53333333333333333</v>
      </c>
      <c r="G241" s="4">
        <f xml:space="preserve"> G240/ COUNTA($G$32:$G$61)</f>
        <v>0.6333333333333333</v>
      </c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</row>
    <row r="242" spans="1:19">
      <c r="A242" s="2" t="s">
        <v>251</v>
      </c>
      <c r="B242" s="4" cm="1">
        <f t="array" ref="B242">SUM(COUNTIF($B$62:$B$91, {"correct"}))</f>
        <v>18</v>
      </c>
      <c r="C242" s="4" cm="1">
        <f t="array" ref="C242">SUM(COUNTIF($C$62:$C$91, {"correct"}))</f>
        <v>24</v>
      </c>
      <c r="D242" s="4" cm="1">
        <f t="array" ref="D242">SUM(COUNTIF($D$62:$D$91, {"correct"}))</f>
        <v>20</v>
      </c>
      <c r="E242" s="4" cm="1">
        <f t="array" ref="E242">SUM(COUNTIF($E$62:$E$91, {"correct"}))</f>
        <v>24</v>
      </c>
      <c r="F242" s="4" cm="1">
        <f t="array" ref="F242">SUM(COUNTIF($F$62:$F$91, {"correct"}))</f>
        <v>24</v>
      </c>
      <c r="G242" s="4" cm="1">
        <f t="array" ref="G242">SUM(COUNTIF($G$62:$G$91, {"correct"}))</f>
        <v>26</v>
      </c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 spans="1:19">
      <c r="A243" s="2" t="s">
        <v>252</v>
      </c>
      <c r="B243" s="4">
        <f xml:space="preserve"> B242/ COUNTA($B$62:$B$91)</f>
        <v>0.6</v>
      </c>
      <c r="C243" s="4">
        <f xml:space="preserve"> C242/ COUNTA($C$62:$C$91)</f>
        <v>0.8</v>
      </c>
      <c r="D243" s="4">
        <f xml:space="preserve"> D242/ COUNTA($D$62:$D$91)</f>
        <v>0.66666666666666663</v>
      </c>
      <c r="E243" s="4">
        <f xml:space="preserve"> E242/ COUNTA($E$62:$E$91)</f>
        <v>0.8</v>
      </c>
      <c r="F243" s="4">
        <f xml:space="preserve"> F242/ COUNTA($F$62:$F$91)</f>
        <v>0.8</v>
      </c>
      <c r="G243" s="4">
        <f xml:space="preserve"> G242/ COUNTA($G$62:$G$91)</f>
        <v>0.8666666666666667</v>
      </c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4" spans="1:19">
      <c r="A244" s="2" t="s">
        <v>253</v>
      </c>
      <c r="B244" s="4" cm="1">
        <f t="array" ref="B244">SUM(COUNTIF($B$92:$B$121, {"correct"}))</f>
        <v>18</v>
      </c>
      <c r="C244" s="4" cm="1">
        <f t="array" ref="C244">SUM(COUNTIF($C$92:$C$121, {"correct"}))</f>
        <v>24</v>
      </c>
      <c r="D244" s="4" cm="1">
        <f t="array" ref="D244">SUM(COUNTIF($D$92:$D$121, {"correct"}))</f>
        <v>18</v>
      </c>
      <c r="E244" s="4" cm="1">
        <f t="array" ref="E244">SUM(COUNTIF($E$92:$E$121, {"correct"}))</f>
        <v>22</v>
      </c>
      <c r="F244" s="4" cm="1">
        <f t="array" ref="F244">SUM(COUNTIF($F$92:$F$121, {"correct"}))</f>
        <v>14</v>
      </c>
      <c r="G244" s="4" cm="1">
        <f t="array" ref="G244">SUM(COUNTIF($G$92:$G$121, {"correct"}))</f>
        <v>20</v>
      </c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</row>
    <row r="245" spans="1:19">
      <c r="A245" s="2" t="s">
        <v>254</v>
      </c>
      <c r="B245" s="4">
        <f>B244/ COUNTA( $B$92:$B$121)</f>
        <v>0.6</v>
      </c>
      <c r="C245" s="4">
        <f>C244/ COUNTA( $C$92:$C$121)</f>
        <v>0.8</v>
      </c>
      <c r="D245" s="4">
        <f>D244/ COUNTA( $D$92:$D$121)</f>
        <v>0.6</v>
      </c>
      <c r="E245" s="4">
        <f>E244/ COUNTA( $E$92:$E$121)</f>
        <v>0.73333333333333328</v>
      </c>
      <c r="F245" s="4">
        <f>F244/ COUNTA( $F$92:$F$121)</f>
        <v>0.46666666666666667</v>
      </c>
      <c r="G245" s="4">
        <f>G244/ COUNTA( $G$92:$G$121)</f>
        <v>0.66666666666666663</v>
      </c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</row>
    <row r="246" spans="1:19">
      <c r="A246" s="2" t="s">
        <v>255</v>
      </c>
      <c r="B246" s="4" cm="1">
        <f t="array" ref="B246">SUM(COUNTIF($B$122:$B$151, {"correct"}))</f>
        <v>14</v>
      </c>
      <c r="C246" s="4" cm="1">
        <f t="array" ref="C246">SUM(COUNTIF($C$122:$C$151, {"correct"}))</f>
        <v>12</v>
      </c>
      <c r="D246" s="4" cm="1">
        <f t="array" ref="D246">SUM(COUNTIF($D$122:$D$151, {"correct"}))</f>
        <v>13</v>
      </c>
      <c r="E246" s="4" cm="1">
        <f t="array" ref="E246">SUM(COUNTIF($E$122:$E$151, {"correct"}))</f>
        <v>17</v>
      </c>
      <c r="F246" s="4" cm="1">
        <f t="array" ref="F246">SUM(COUNTIF($F$122:$F$151, {"correct"}))</f>
        <v>20</v>
      </c>
      <c r="G246" s="4" cm="1">
        <f t="array" ref="G246">SUM(COUNTIF($G$122:$G$151, {"correct"}))</f>
        <v>20</v>
      </c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</row>
    <row r="247" spans="1:19">
      <c r="A247" s="2" t="s">
        <v>256</v>
      </c>
      <c r="B247" s="4">
        <f>B246/ COUNTA( $B$122:$B$151)</f>
        <v>0.46666666666666667</v>
      </c>
      <c r="C247" s="4">
        <f>C246/ COUNTA( $C$122:$C$151)</f>
        <v>0.4</v>
      </c>
      <c r="D247" s="4">
        <f>D246/ COUNTA( $D$122:$D$151)</f>
        <v>0.43333333333333335</v>
      </c>
      <c r="E247" s="4">
        <f>E246/ COUNTA( $E$122:$E$151)</f>
        <v>0.56666666666666665</v>
      </c>
      <c r="F247" s="4">
        <f>F246/ COUNTA( $F$122:$F$151)</f>
        <v>0.66666666666666663</v>
      </c>
      <c r="G247" s="4">
        <f>G246/ COUNTA( $G$122:$G$151)</f>
        <v>0.66666666666666663</v>
      </c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</row>
    <row r="248" spans="1:19">
      <c r="A248" s="2" t="s">
        <v>257</v>
      </c>
      <c r="B248" s="4" cm="1">
        <f t="array" ref="B248">SUM(COUNTIF($B$152:$B$183, {"correct"}))</f>
        <v>17</v>
      </c>
      <c r="C248" s="4" cm="1">
        <f t="array" ref="C248">SUM(COUNTIF($C$152:$C$183, {"correct"}))</f>
        <v>20</v>
      </c>
      <c r="D248" s="4" cm="1">
        <f t="array" ref="D248">SUM(COUNTIF($D$152:$D$183, {"correct"}))</f>
        <v>17</v>
      </c>
      <c r="E248" s="4" cm="1">
        <f t="array" ref="E248">SUM(COUNTIF($E$152:$E$183, {"correct"}))</f>
        <v>20</v>
      </c>
      <c r="F248" s="4" cm="1">
        <f t="array" ref="F248">SUM(COUNTIF($F$152:$F$183, {"correct"}))</f>
        <v>20</v>
      </c>
      <c r="G248" s="4" cm="1">
        <f t="array" ref="G248">SUM(COUNTIF($G$152:$G$183, {"correct"}))</f>
        <v>22</v>
      </c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</row>
    <row r="249" spans="1:19">
      <c r="A249" s="2" t="s">
        <v>258</v>
      </c>
      <c r="B249" s="4">
        <f>B248/ COUNTA( $B$152:$B$183)</f>
        <v>0.53125</v>
      </c>
      <c r="C249" s="4">
        <f>C248/ COUNTA( $C$152:$C$183)</f>
        <v>0.625</v>
      </c>
      <c r="D249" s="4">
        <f>D248/ COUNTA( $D$152:$D$183)</f>
        <v>0.53125</v>
      </c>
      <c r="E249" s="4">
        <f>E248/ COUNTA( $E$152:$E$183)</f>
        <v>0.625</v>
      </c>
      <c r="F249" s="4">
        <f>F248/ COUNTA( $F$152:$F$183)</f>
        <v>0.625</v>
      </c>
      <c r="G249" s="4">
        <f>G248/ COUNTA( $G$152:$G$183)</f>
        <v>0.6875</v>
      </c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</row>
    <row r="250" spans="1:19">
      <c r="A250" s="2" t="s">
        <v>259</v>
      </c>
      <c r="B250" s="4" cm="1">
        <f t="array" ref="B250">SUM(COUNTIF($B$184:$B$223, {"correct"}))</f>
        <v>34</v>
      </c>
      <c r="C250" s="4" cm="1">
        <f t="array" ref="C250">SUM(COUNTIF($C$184:$C$223, {"correct"}))</f>
        <v>37</v>
      </c>
      <c r="D250" s="4" cm="1">
        <f t="array" ref="D250">SUM(COUNTIF($D$184:$D$223, {"correct"}))</f>
        <v>39</v>
      </c>
      <c r="E250" s="4" cm="1">
        <f t="array" ref="E250">SUM(COUNTIF($E$184:$E$223, {"correct"}))</f>
        <v>38</v>
      </c>
      <c r="F250" s="4" cm="1">
        <f t="array" ref="F250">SUM(COUNTIF($F$184:$F$223, {"correct"}))</f>
        <v>36</v>
      </c>
      <c r="G250" s="4" cm="1">
        <f t="array" ref="G250">SUM(COUNTIF($G$184:$G$223, {"correct"}))</f>
        <v>38</v>
      </c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</row>
    <row r="251" spans="1:19">
      <c r="A251" s="2" t="s">
        <v>260</v>
      </c>
      <c r="B251" s="4">
        <f>B250/ COUNTA( $B$184:$B$223)</f>
        <v>0.85</v>
      </c>
      <c r="C251" s="4">
        <f>C250/ COUNTA( $C$184:$C$223)</f>
        <v>0.92500000000000004</v>
      </c>
      <c r="D251" s="4">
        <f>D250/ COUNTA( $D$184:$D$223)</f>
        <v>0.97499999999999998</v>
      </c>
      <c r="E251" s="4">
        <f>E250/ COUNTA( $E$184:$E$223)</f>
        <v>0.95</v>
      </c>
      <c r="F251" s="4">
        <f>F250/ COUNTA( $F$184:$F$223)</f>
        <v>0.9</v>
      </c>
      <c r="G251" s="4">
        <f>G250/ COUNTA( $G$184:$G$223)</f>
        <v>0.95</v>
      </c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</row>
    <row r="252" spans="1:19">
      <c r="A252" s="2" t="s">
        <v>261</v>
      </c>
      <c r="B252" s="4">
        <f>B238+B240+B242+B244+B246+B248+B250</f>
        <v>129</v>
      </c>
      <c r="C252" s="4">
        <f>C238+C240+C242+C244+C246+C248+C250</f>
        <v>145</v>
      </c>
      <c r="D252" s="4">
        <f>D238+D240+D242+D244+D246+D248+D250</f>
        <v>140</v>
      </c>
      <c r="E252" s="4">
        <f>E238+E240+E242+E244+E246+E248+E250</f>
        <v>161</v>
      </c>
      <c r="F252" s="4">
        <f>F238+F240+F242+F244+F246+F248+F250</f>
        <v>153</v>
      </c>
      <c r="G252" s="4">
        <f>G238+G240+G242+G244+G246+G248+G250</f>
        <v>170</v>
      </c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</row>
    <row r="253" spans="1:19">
      <c r="A253" s="7" t="s">
        <v>262</v>
      </c>
      <c r="B253" s="6">
        <f>B252/222</f>
        <v>0.58108108108108103</v>
      </c>
      <c r="C253" s="6">
        <f>C252/222</f>
        <v>0.65315315315315314</v>
      </c>
      <c r="D253" s="6">
        <f>D252/222</f>
        <v>0.63063063063063063</v>
      </c>
      <c r="E253" s="6">
        <f>E252/222</f>
        <v>0.72522522522522526</v>
      </c>
      <c r="F253" s="6">
        <f>F252/222</f>
        <v>0.68918918918918914</v>
      </c>
      <c r="G253" s="6">
        <f>G252/222</f>
        <v>0.76576576576576572</v>
      </c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</row>
    <row r="254" spans="1:19">
      <c r="A254" t="s">
        <v>263</v>
      </c>
      <c r="B254" s="4">
        <f>COUNTIFS($B$2:$B$223, "wrong", $A$2:$A$223, "*reproduced*")</f>
        <v>21</v>
      </c>
      <c r="C254" s="4">
        <f>COUNTIFS($C$2:$C$223, "wrong", $A$2:$A$223, "*reproduced*")</f>
        <v>12</v>
      </c>
      <c r="D254" s="4">
        <f>COUNTIFS($D$2:$D$223, "wrong", $A$2:$A$223, "*reproduced*")</f>
        <v>40</v>
      </c>
      <c r="E254" s="4">
        <f>COUNTIFS($E$2:$E$223, "wrong", $A$2:$A$223, "*reproduced*")</f>
        <v>37</v>
      </c>
      <c r="F254" s="4">
        <f>COUNTIFS($F$2:$F$223, "wrong", $A$2:$A$223, "*reproduced*")</f>
        <v>32</v>
      </c>
      <c r="G254" s="4">
        <f>COUNTIFS($G$2:$G$223, "wrong", $A$2:$A$223, "*reproduced*")</f>
        <v>22</v>
      </c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5" spans="1:19">
      <c r="A255" t="s">
        <v>264</v>
      </c>
      <c r="B255" s="4" cm="1">
        <f t="array" ref="B255">SUM(COUNTIF($B$2:$B$223, {"partially correct"}))</f>
        <v>1</v>
      </c>
      <c r="C255" s="4" cm="1">
        <f t="array" ref="C255">SUM(COUNTIF($C$2:$C$223, {"partially correct"}))</f>
        <v>0</v>
      </c>
      <c r="D255" s="4" cm="1">
        <f t="array" ref="D255">SUM(COUNTIF($D$2:$D$223, {"partially correct"}))</f>
        <v>1</v>
      </c>
      <c r="E255" s="4" cm="1">
        <f t="array" ref="E255">SUM(COUNTIF($E$2:$E$223, {"partially correct"}))</f>
        <v>1</v>
      </c>
      <c r="F255" s="4" cm="1">
        <f t="array" ref="F255">SUM(COUNTIF($F$2:$F$223, {"partially correct"}))</f>
        <v>5</v>
      </c>
      <c r="G255" s="4" cm="1">
        <f t="array" ref="G255">SUM(COUNTIF($G$2:$G$223, {"partially correct"}))</f>
        <v>3</v>
      </c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</row>
    <row r="256" spans="1:19">
      <c r="A256" t="s">
        <v>265</v>
      </c>
      <c r="B256" s="4" cm="1">
        <f t="array" ref="B256">SUM(COUNTIF($B$2:$B$223, {"reasoning wrong"}))</f>
        <v>20</v>
      </c>
      <c r="C256" s="4" cm="1">
        <f t="array" ref="C256">SUM(COUNTIF($C$2:$C$223, {"reasoning wrong"}))</f>
        <v>18</v>
      </c>
      <c r="D256" s="4" cm="1">
        <f t="array" ref="D256">SUM(COUNTIF($D$2:$D$223, {"reasoning wrong"}))</f>
        <v>14</v>
      </c>
      <c r="E256" s="4" cm="1">
        <f t="array" ref="E256">SUM(COUNTIF($E$2:$E$223, {"reasoning wrong"}))</f>
        <v>11</v>
      </c>
      <c r="F256" s="4" cm="1">
        <f t="array" ref="F256">SUM(COUNTIF($F$2:$F$223, {"reasoning wrong"}))</f>
        <v>11</v>
      </c>
      <c r="G256" s="4" cm="1">
        <f t="array" ref="G256">SUM(COUNTIF($G$2:$G$223, {"reasoning wrong"}))</f>
        <v>7</v>
      </c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</row>
  </sheetData>
  <autoFilter ref="A1:G183" xr:uid="{00000000-0001-0000-0000-000000000000}"/>
  <dataValidations count="1">
    <dataValidation type="list" allowBlank="1" showInputMessage="1" showErrorMessage="1" sqref="B2:G182 B183:G223" xr:uid="{80D0EE70-8110-4D1C-A20C-E6CFC424F4D5}">
      <formula1>#REF!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BEA8-7AC2-40BC-99E7-E25DBCC75F03}">
  <dimension ref="A1:AE33"/>
  <sheetViews>
    <sheetView tabSelected="1" topLeftCell="A16" workbookViewId="0">
      <selection activeCell="G12" sqref="G12"/>
    </sheetView>
  </sheetViews>
  <sheetFormatPr defaultRowHeight="15"/>
  <cols>
    <col min="1" max="1" width="19.7109375" customWidth="1"/>
    <col min="11" max="12" width="12.5703125" bestFit="1" customWidth="1"/>
    <col min="17" max="17" width="12.85546875" bestFit="1" customWidth="1"/>
    <col min="18" max="18" width="13.28515625" bestFit="1" customWidth="1"/>
    <col min="20" max="20" width="13.85546875" bestFit="1" customWidth="1"/>
    <col min="21" max="21" width="12.140625" bestFit="1" customWidth="1"/>
    <col min="22" max="22" width="12.5703125" bestFit="1" customWidth="1"/>
    <col min="24" max="24" width="12.5703125" bestFit="1" customWidth="1"/>
    <col min="27" max="27" width="12.85546875" bestFit="1" customWidth="1"/>
    <col min="28" max="28" width="13.28515625" bestFit="1" customWidth="1"/>
  </cols>
  <sheetData>
    <row r="1" spans="1:28">
      <c r="A1" t="s">
        <v>266</v>
      </c>
      <c r="T1" t="s">
        <v>267</v>
      </c>
    </row>
    <row r="2" spans="1:28">
      <c r="T2" s="14" t="s">
        <v>268</v>
      </c>
      <c r="U2" s="15" t="s">
        <v>269</v>
      </c>
      <c r="V2" s="16"/>
      <c r="W2" s="16"/>
      <c r="X2" s="16"/>
      <c r="Y2" s="16"/>
      <c r="Z2" s="16"/>
      <c r="AA2" s="16"/>
      <c r="AB2" s="17"/>
    </row>
    <row r="3" spans="1:28">
      <c r="A3" s="18" t="s">
        <v>270</v>
      </c>
      <c r="B3" s="19" t="s">
        <v>271</v>
      </c>
      <c r="C3" s="19" t="s">
        <v>272</v>
      </c>
      <c r="D3" s="19" t="s">
        <v>273</v>
      </c>
      <c r="E3" s="19" t="s">
        <v>274</v>
      </c>
      <c r="F3" s="19" t="s">
        <v>275</v>
      </c>
      <c r="G3" s="19" t="s">
        <v>276</v>
      </c>
      <c r="H3" s="20" t="s">
        <v>277</v>
      </c>
      <c r="I3" s="19" t="s">
        <v>278</v>
      </c>
      <c r="J3" s="19" t="s">
        <v>279</v>
      </c>
      <c r="K3" s="19" t="s">
        <v>280</v>
      </c>
      <c r="L3" s="19" t="s">
        <v>281</v>
      </c>
      <c r="M3" s="19" t="s">
        <v>282</v>
      </c>
      <c r="N3" s="19" t="s">
        <v>283</v>
      </c>
      <c r="O3" s="19" t="s">
        <v>284</v>
      </c>
      <c r="P3" s="19" t="s">
        <v>285</v>
      </c>
      <c r="Q3" s="19" t="s">
        <v>286</v>
      </c>
      <c r="R3" s="20" t="s">
        <v>287</v>
      </c>
      <c r="T3" s="21"/>
      <c r="U3" s="22" t="s">
        <v>280</v>
      </c>
      <c r="V3" s="19" t="s">
        <v>281</v>
      </c>
      <c r="W3" s="19" t="s">
        <v>282</v>
      </c>
      <c r="X3" s="19" t="s">
        <v>283</v>
      </c>
      <c r="Y3" s="19" t="s">
        <v>284</v>
      </c>
      <c r="Z3" s="19" t="s">
        <v>285</v>
      </c>
      <c r="AA3" s="19" t="s">
        <v>286</v>
      </c>
      <c r="AB3" s="23" t="s">
        <v>287</v>
      </c>
    </row>
    <row r="4" spans="1:28">
      <c r="A4" s="24" t="s">
        <v>288</v>
      </c>
      <c r="B4">
        <v>30</v>
      </c>
      <c r="C4">
        <f ca="1">Final_evaluation!$B$224</f>
        <v>9</v>
      </c>
      <c r="D4">
        <f ca="1">Final_evaluation!$C$224</f>
        <v>11</v>
      </c>
      <c r="E4">
        <f ca="1">Final_evaluation!$B$225</f>
        <v>3</v>
      </c>
      <c r="F4">
        <f ca="1">Final_evaluation!$C$225</f>
        <v>2</v>
      </c>
      <c r="G4">
        <f ca="1">C4/B4</f>
        <v>0.3</v>
      </c>
      <c r="H4">
        <f ca="1">D4/B4</f>
        <v>0.36666666666666664</v>
      </c>
      <c r="I4">
        <f ca="1">E4/B4</f>
        <v>0.1</v>
      </c>
      <c r="J4">
        <f ca="1">F4/B4</f>
        <v>6.6666666666666666E-2</v>
      </c>
      <c r="K4" s="25">
        <f ca="1">($B$4/2-$E$4)/(($B$4/2-$E$4)+$C$4)</f>
        <v>0.5714285714285714</v>
      </c>
      <c r="L4" s="25">
        <f ca="1">($B$4/2-$F$4)/(($B$4/2-$F$4)+$D$4)</f>
        <v>0.54166666666666663</v>
      </c>
      <c r="M4" s="30">
        <f ca="1">($B$4/2-$E$4)/($B$4/2)</f>
        <v>0.8</v>
      </c>
      <c r="N4" s="30">
        <f ca="1">($B$4/2-$F$4)/($B$4/2)</f>
        <v>0.8666666666666667</v>
      </c>
      <c r="O4" s="26">
        <f ca="1">$K$4*$M$4*2/($K$4+$M$4)</f>
        <v>0.66666666666666663</v>
      </c>
      <c r="P4" s="26">
        <f ca="1">$L$4*$N$4*2/($L$4+$N$4)</f>
        <v>0.66666666666666674</v>
      </c>
      <c r="Q4" s="25">
        <f ca="1">($B$4-$C$4-$E$4)/$B$4</f>
        <v>0.6</v>
      </c>
      <c r="R4" s="25">
        <f ca="1">($B$4-$D$4-$F$4)/$B$4</f>
        <v>0.56666666666666665</v>
      </c>
      <c r="T4" t="s">
        <v>289</v>
      </c>
      <c r="U4" s="27">
        <f ca="1">($B$11/2-$E$11)/(($B$11/2-$E$11)+$C$11)</f>
        <v>0.57499999999999996</v>
      </c>
      <c r="V4" s="28">
        <f ca="1">($B$11/2-$F$11)/(($B$11/2-$F$11)+$D$11)</f>
        <v>0.6328125</v>
      </c>
      <c r="W4" s="28">
        <f ca="1">($B$11/2-$E$11)/($B$11/2)</f>
        <v>0.6216216216216216</v>
      </c>
      <c r="X4" s="28">
        <f ca="1">($B$11/2-$F$11)/($B$11/2)</f>
        <v>0.72972972972972971</v>
      </c>
      <c r="Y4" s="28">
        <f ca="1">$K$11*$M$11*2/($K$11+$M$11)</f>
        <v>0.59740259740259727</v>
      </c>
      <c r="Z4" s="28">
        <f ca="1">$L$11*$N$11*2/($L$11+$N$11)</f>
        <v>0.67782426778242666</v>
      </c>
      <c r="AA4" s="28">
        <f ca="1">($B$11-$C$11-$E$11)/$B$11</f>
        <v>0.58108108108108103</v>
      </c>
      <c r="AB4" s="29">
        <f ca="1">($B$11-$D$11-$F$11)/$B$11</f>
        <v>0.65315315315315314</v>
      </c>
    </row>
    <row r="5" spans="1:28">
      <c r="A5" s="24" t="s">
        <v>290</v>
      </c>
      <c r="B5">
        <v>30</v>
      </c>
      <c r="C5">
        <f ca="1">Final_evaluation!$B$226</f>
        <v>10</v>
      </c>
      <c r="D5">
        <f ca="1">Final_evaluation!$C$226</f>
        <v>10</v>
      </c>
      <c r="E5">
        <f ca="1">Final_evaluation!$B$227</f>
        <v>10</v>
      </c>
      <c r="F5">
        <f ca="1">Final_evaluation!$C$227</f>
        <v>9</v>
      </c>
      <c r="G5">
        <f t="shared" ref="G5:G11" ca="1" si="0">C5/B5</f>
        <v>0.33333333333333331</v>
      </c>
      <c r="H5">
        <f t="shared" ref="H5:H11" ca="1" si="1">D5/B5</f>
        <v>0.33333333333333331</v>
      </c>
      <c r="I5">
        <f ca="1">E5/B5</f>
        <v>0.33333333333333331</v>
      </c>
      <c r="J5">
        <f ca="1">F5/B5</f>
        <v>0.3</v>
      </c>
      <c r="K5" s="30">
        <f ca="1">($B$5/2-$E$5)/(($B$5/2-$E$5)+$C$5)</f>
        <v>0.33333333333333331</v>
      </c>
      <c r="L5" s="30">
        <f ca="1">($B$5/2-$F$5)/(($B$5/2-$F$5)+$D$5)</f>
        <v>0.375</v>
      </c>
      <c r="M5" s="30">
        <f ca="1">($B$5/2-$E$5)/($B$5/2)</f>
        <v>0.33333333333333331</v>
      </c>
      <c r="N5" s="30">
        <f ca="1">($B$5/2-$F$5)/($B$5/2)</f>
        <v>0.4</v>
      </c>
      <c r="O5" s="30">
        <f ca="1">$K$5*$M$5*2/($K$5+$M$5)</f>
        <v>0.33333333333333331</v>
      </c>
      <c r="P5" s="30">
        <f ca="1">$L$5*$N$5*2/($L$5+$N$5)</f>
        <v>0.38709677419354843</v>
      </c>
      <c r="Q5" s="30">
        <f ca="1">($B$5-$C$5-$E$5)/$B$5</f>
        <v>0.33333333333333331</v>
      </c>
      <c r="R5" s="30">
        <f ca="1">($B$5-$D$5-$F$5)/$B$5</f>
        <v>0.36666666666666664</v>
      </c>
      <c r="T5" t="s">
        <v>291</v>
      </c>
      <c r="U5" s="27">
        <f ca="1">($B$22/2-$E$22)/(($B$22/2-$E$22)+$C$22)</f>
        <v>0.67469879518072284</v>
      </c>
      <c r="V5" s="28">
        <f ca="1">($B$22/2-$F$22)/(($B$22/2-$F$22)+$D$22)</f>
        <v>0.83783783783783783</v>
      </c>
      <c r="W5" s="28">
        <f ca="1">($B$22/2-$E$22)/($B$22/2)</f>
        <v>0.50450450450450446</v>
      </c>
      <c r="X5" s="28">
        <f ca="1">($B$22/2-$F$22)/($B$22/2)</f>
        <v>0.55855855855855852</v>
      </c>
      <c r="Y5" s="28">
        <f ca="1">$K$22*$M$22*2/($K$22+$M$22)</f>
        <v>0.57731958762886593</v>
      </c>
      <c r="Z5" s="28">
        <f ca="1">$L$22*$N$22*2/($L$22+$N$22)</f>
        <v>0.6702702702702702</v>
      </c>
      <c r="AA5" s="28">
        <f ca="1">($B$22-$C$22-$E$22)/$B$22</f>
        <v>0.63063063063063063</v>
      </c>
      <c r="AB5" s="29">
        <f ca="1">($B$22-$D$22-$F$22)/$B$22</f>
        <v>0.72522522522522526</v>
      </c>
    </row>
    <row r="6" spans="1:28">
      <c r="A6" s="24" t="s">
        <v>292</v>
      </c>
      <c r="B6">
        <v>30</v>
      </c>
      <c r="C6">
        <f ca="1">Final_evaluation!$B$228</f>
        <v>5</v>
      </c>
      <c r="D6">
        <f ca="1">Final_evaluation!$C$228</f>
        <v>4</v>
      </c>
      <c r="E6">
        <f ca="1">Final_evaluation!$B$229</f>
        <v>7</v>
      </c>
      <c r="F6">
        <f ca="1">Final_evaluation!$C$229</f>
        <v>2</v>
      </c>
      <c r="G6">
        <f t="shared" ca="1" si="0"/>
        <v>0.16666666666666666</v>
      </c>
      <c r="H6">
        <f t="shared" ca="1" si="1"/>
        <v>0.13333333333333333</v>
      </c>
      <c r="I6">
        <f t="shared" ref="I6:I11" ca="1" si="2">E6/B6</f>
        <v>0.23333333333333334</v>
      </c>
      <c r="J6">
        <f t="shared" ref="J6:J11" ca="1" si="3">F6/B6</f>
        <v>6.6666666666666666E-2</v>
      </c>
      <c r="K6" s="30">
        <f ca="1">($B$6/2-$E$6)/(($B$6/2-$E$6)+$C$6)</f>
        <v>0.61538461538461542</v>
      </c>
      <c r="L6" s="30">
        <f ca="1">($B$6/2-$F$6)/(($B$6/2-$F$6)+$D$6)</f>
        <v>0.76470588235294112</v>
      </c>
      <c r="M6" s="30">
        <f ca="1">($B$6/2-$E$6)/($B$6/2)</f>
        <v>0.53333333333333333</v>
      </c>
      <c r="N6" s="30">
        <f ca="1">($B$6/2-$F$6)/($B$6/2)</f>
        <v>0.8666666666666667</v>
      </c>
      <c r="O6" s="30">
        <f ca="1">$K$6*$M$6*2/($K$6+$M$6)</f>
        <v>0.57142857142857151</v>
      </c>
      <c r="P6" s="30">
        <f ca="1">$L$6*$N$6*2/($L$6+$N$6)</f>
        <v>0.8125</v>
      </c>
      <c r="Q6" s="30">
        <f ca="1">($B$6-$C$6-$E$6)/$B$6</f>
        <v>0.6</v>
      </c>
      <c r="R6" s="30">
        <f ca="1">($B$6-$D$6-$F$6)/$B$6</f>
        <v>0.8</v>
      </c>
      <c r="T6" t="s">
        <v>293</v>
      </c>
      <c r="U6" s="27">
        <f ca="1">($B$33/2-$E$33)/(($B$33/2-$E$33)+$C$33)</f>
        <v>0.75</v>
      </c>
      <c r="V6" s="28">
        <f ca="1">($B$33/2-$F$33)/(($B$33/2-$F$33)+$D$33)</f>
        <v>0.79797979797979801</v>
      </c>
      <c r="W6" s="28">
        <f ca="1">($B$33/2-$E$33)/($B$33/2)</f>
        <v>0.56756756756756754</v>
      </c>
      <c r="X6" s="28">
        <f ca="1">($B$33/2-$F$33)/($B$33/2)</f>
        <v>0.71171171171171166</v>
      </c>
      <c r="Y6" s="28">
        <f ca="1">$K$33*$M$33*2/($K$33+$M$33)</f>
        <v>0.64615384615384619</v>
      </c>
      <c r="Z6" s="28">
        <f ca="1">$L$33*$N$33*2/($L$33+$N$33)</f>
        <v>0.75238095238095248</v>
      </c>
      <c r="AA6" s="28">
        <f ca="1">($B$33-$C$33-$E$33)/$B$33</f>
        <v>0.68918918918918914</v>
      </c>
      <c r="AB6" s="29">
        <f ca="1">($B$33-$D$33-$F$33)/$B$33</f>
        <v>0.76576576576576572</v>
      </c>
    </row>
    <row r="7" spans="1:28">
      <c r="A7" s="24" t="s">
        <v>294</v>
      </c>
      <c r="B7">
        <v>30</v>
      </c>
      <c r="C7">
        <f ca="1">Final_evaluation!$B$230</f>
        <v>7</v>
      </c>
      <c r="D7">
        <f ca="1">Final_evaluation!$C$230</f>
        <v>3</v>
      </c>
      <c r="E7">
        <f ca="1">Final_evaluation!$B$231</f>
        <v>5</v>
      </c>
      <c r="F7">
        <f ca="1">Final_evaluation!$C$231</f>
        <v>3</v>
      </c>
      <c r="G7">
        <f t="shared" ca="1" si="0"/>
        <v>0.23333333333333334</v>
      </c>
      <c r="H7">
        <f t="shared" ca="1" si="1"/>
        <v>0.1</v>
      </c>
      <c r="I7">
        <f t="shared" ca="1" si="2"/>
        <v>0.16666666666666666</v>
      </c>
      <c r="J7">
        <f t="shared" ca="1" si="3"/>
        <v>0.1</v>
      </c>
      <c r="K7" s="30">
        <f ca="1">($B$7/2-$E$7)/(($B$7/2-$E$7)+$C$7)</f>
        <v>0.58823529411764708</v>
      </c>
      <c r="L7" s="30">
        <f ca="1">($B$7/2-$F$7)/(($B$7/2-$F$7)+$D$7)</f>
        <v>0.8</v>
      </c>
      <c r="M7" s="30">
        <f ca="1">($B$7/2-$E$7)/($B$7/2)</f>
        <v>0.66666666666666663</v>
      </c>
      <c r="N7" s="30">
        <f ca="1">($B$7/2-$F$7)/($B$7/2)</f>
        <v>0.8</v>
      </c>
      <c r="O7" s="30">
        <f ca="1">$K$7*$M$7*2/($K$7+$M$7)</f>
        <v>0.625</v>
      </c>
      <c r="P7" s="30">
        <f ca="1">$L$7*$N$7*2/($L$7+$N$7)</f>
        <v>0.80000000000000016</v>
      </c>
      <c r="Q7" s="30">
        <f ca="1">($B$7-$C$7-$E$7)/$B$7</f>
        <v>0.6</v>
      </c>
      <c r="R7" s="30">
        <f ca="1">($B$7-$D$7-$F$7)/$B$7</f>
        <v>0.8</v>
      </c>
    </row>
    <row r="8" spans="1:28">
      <c r="A8" s="24" t="s">
        <v>295</v>
      </c>
      <c r="B8">
        <v>30</v>
      </c>
      <c r="C8">
        <f ca="1">Final_evaluation!$B$232</f>
        <v>7</v>
      </c>
      <c r="D8">
        <f ca="1">Final_evaluation!$C$232</f>
        <v>10</v>
      </c>
      <c r="E8">
        <f ca="1">Final_evaluation!$B$233</f>
        <v>9</v>
      </c>
      <c r="F8">
        <f ca="1">Final_evaluation!$C$233</f>
        <v>8</v>
      </c>
      <c r="G8">
        <f t="shared" ca="1" si="0"/>
        <v>0.23333333333333334</v>
      </c>
      <c r="H8">
        <f t="shared" ca="1" si="1"/>
        <v>0.33333333333333331</v>
      </c>
      <c r="I8">
        <f t="shared" ca="1" si="2"/>
        <v>0.3</v>
      </c>
      <c r="J8">
        <f t="shared" ca="1" si="3"/>
        <v>0.26666666666666666</v>
      </c>
      <c r="K8" s="25">
        <f ca="1">($B$8/2-$E$8)/(($B$8/2-$E$8)+$C$8)</f>
        <v>0.46153846153846156</v>
      </c>
      <c r="L8" s="25">
        <f ca="1">($B$8/2-$F$8)/(($B$8/2-$F$8)+$D$8)</f>
        <v>0.41176470588235292</v>
      </c>
      <c r="M8" s="30">
        <f ca="1">($B$8/2-$E$8)/($B$8/2)</f>
        <v>0.4</v>
      </c>
      <c r="N8" s="30">
        <f ca="1">($B$8/2-$F$8)/($B$8/2)</f>
        <v>0.46666666666666667</v>
      </c>
      <c r="O8" s="30">
        <f ca="1">$K$8*$M$8*2/($K$8+$M$8)</f>
        <v>0.42857142857142855</v>
      </c>
      <c r="P8" s="30">
        <f ca="1">$L$8*$N$8*2/($L$8+$N$8)</f>
        <v>0.43749999999999994</v>
      </c>
      <c r="Q8" s="25">
        <f ca="1">($B$8-$C$8-$E$8)/$B$8</f>
        <v>0.46666666666666667</v>
      </c>
      <c r="R8" s="25">
        <f ca="1">($B$8-$D$8-$F$8)/$B$8</f>
        <v>0.4</v>
      </c>
      <c r="T8" s="18" t="s">
        <v>296</v>
      </c>
      <c r="U8" s="19"/>
      <c r="V8" s="19" t="s">
        <v>297</v>
      </c>
      <c r="W8" s="19"/>
      <c r="X8" s="19" t="s">
        <v>298</v>
      </c>
      <c r="Y8" s="19"/>
      <c r="Z8" s="19" t="s">
        <v>299</v>
      </c>
      <c r="AA8" s="19"/>
      <c r="AB8" s="19" t="s">
        <v>300</v>
      </c>
    </row>
    <row r="9" spans="1:28">
      <c r="A9" s="24" t="s">
        <v>301</v>
      </c>
      <c r="B9">
        <v>32</v>
      </c>
      <c r="C9">
        <f ca="1">Final_evaluation!$B$234</f>
        <v>7</v>
      </c>
      <c r="D9">
        <f ca="1">Final_evaluation!$C$234</f>
        <v>6</v>
      </c>
      <c r="E9">
        <f ca="1">Final_evaluation!$B$235</f>
        <v>8</v>
      </c>
      <c r="F9">
        <f ca="1">Final_evaluation!$C$235</f>
        <v>6</v>
      </c>
      <c r="G9">
        <f t="shared" ca="1" si="0"/>
        <v>0.21875</v>
      </c>
      <c r="H9">
        <f t="shared" ca="1" si="1"/>
        <v>0.1875</v>
      </c>
      <c r="I9">
        <f t="shared" ca="1" si="2"/>
        <v>0.25</v>
      </c>
      <c r="J9">
        <f t="shared" ca="1" si="3"/>
        <v>0.1875</v>
      </c>
      <c r="K9" s="30">
        <f ca="1">($B$9/2-$E$9)/(($B$9/2-$E$9)+$C$9)</f>
        <v>0.53333333333333333</v>
      </c>
      <c r="L9" s="30">
        <f ca="1">($B$9/2-$F$9)/(($B$9/2-$F$9)+$D$9)</f>
        <v>0.625</v>
      </c>
      <c r="M9" s="30">
        <f ca="1">($B$9/2-$E$9)/($B$9/2)</f>
        <v>0.5</v>
      </c>
      <c r="N9" s="30">
        <f ca="1">($B$9/2-$F$9)/($B$9/2)</f>
        <v>0.625</v>
      </c>
      <c r="O9" s="30">
        <f ca="1">$K$9*$M$9*2/($K$9+$M$9)</f>
        <v>0.51612903225806461</v>
      </c>
      <c r="P9" s="30">
        <f ca="1">$L$9*$N$9*2/($L$9+$N$9)</f>
        <v>0.625</v>
      </c>
      <c r="Q9" s="30">
        <f ca="1">($B$9-$C$9-$E$9)/$B$9</f>
        <v>0.53125</v>
      </c>
      <c r="R9" s="30">
        <f ca="1">($B$9-$D$9-$F$9)/$B$9</f>
        <v>0.625</v>
      </c>
      <c r="T9" s="2" t="s">
        <v>289</v>
      </c>
      <c r="V9" s="31">
        <f ca="1">V4-U4</f>
        <v>5.7812500000000044E-2</v>
      </c>
      <c r="W9" s="31"/>
      <c r="X9" s="31">
        <f ca="1">X4-W4</f>
        <v>0.10810810810810811</v>
      </c>
      <c r="Y9" s="31"/>
      <c r="Z9" s="31">
        <f ca="1">Z4-Y4</f>
        <v>8.0421670379829391E-2</v>
      </c>
      <c r="AA9" s="31"/>
      <c r="AB9" s="31">
        <f ca="1">AB4-AA4</f>
        <v>7.2072072072072113E-2</v>
      </c>
    </row>
    <row r="10" spans="1:28">
      <c r="A10" s="24" t="s">
        <v>302</v>
      </c>
      <c r="B10">
        <v>40</v>
      </c>
      <c r="C10">
        <f ca="1">Final_evaluation!$B$236</f>
        <v>6</v>
      </c>
      <c r="D10">
        <f ca="1">Final_evaluation!$C$236</f>
        <v>3</v>
      </c>
      <c r="E10">
        <f ca="1">Final_evaluation!$B$237</f>
        <v>0</v>
      </c>
      <c r="F10">
        <f ca="1">Final_evaluation!$C$237</f>
        <v>0</v>
      </c>
      <c r="G10">
        <f t="shared" ca="1" si="0"/>
        <v>0.15</v>
      </c>
      <c r="H10">
        <f t="shared" ca="1" si="1"/>
        <v>7.4999999999999997E-2</v>
      </c>
      <c r="I10">
        <f t="shared" ca="1" si="2"/>
        <v>0</v>
      </c>
      <c r="J10">
        <f t="shared" ca="1" si="3"/>
        <v>0</v>
      </c>
      <c r="K10" s="30">
        <f ca="1">($B$10/2-$E$10)/(($B$10/2-$E$10)+$C$10)</f>
        <v>0.76923076923076927</v>
      </c>
      <c r="L10" s="30">
        <f ca="1">($B$10/2-$F$10)/(($B$10/2-$F$10)+$D$10)</f>
        <v>0.86956521739130432</v>
      </c>
      <c r="M10" s="26">
        <f ca="1">($B$10/2-$E$10)/($B$10/2)</f>
        <v>1</v>
      </c>
      <c r="N10" s="26">
        <f ca="1">($B$10/2-$F$10)/($B$10/2)</f>
        <v>1</v>
      </c>
      <c r="O10" s="30">
        <f ca="1">$K$10*$M$10*2/($K$10+$M$10)</f>
        <v>0.86956521739130443</v>
      </c>
      <c r="P10" s="30">
        <f ca="1">$L$10*$N$10*2/($L$10+$N$10)</f>
        <v>0.93023255813953487</v>
      </c>
      <c r="Q10" s="30">
        <f ca="1">($B$10-$C$10-$E$10)/$B$10</f>
        <v>0.85</v>
      </c>
      <c r="R10" s="30">
        <f ca="1">($B$10-$D$10-$F$10)/$B$10</f>
        <v>0.92500000000000004</v>
      </c>
      <c r="T10" s="2" t="s">
        <v>291</v>
      </c>
      <c r="V10" s="31">
        <f ca="1">V5-U5</f>
        <v>0.16313904265711499</v>
      </c>
      <c r="W10" s="31"/>
      <c r="X10" s="31">
        <f t="shared" ref="X10:Z11" ca="1" si="4">X5-W5</f>
        <v>5.4054054054054057E-2</v>
      </c>
      <c r="Y10" s="31"/>
      <c r="Z10" s="31">
        <f t="shared" ca="1" si="4"/>
        <v>9.295068264140427E-2</v>
      </c>
      <c r="AB10" s="31">
        <f t="shared" ref="AB10:AB11" ca="1" si="5">AB5-AA5</f>
        <v>9.4594594594594628E-2</v>
      </c>
    </row>
    <row r="11" spans="1:28">
      <c r="A11" s="24" t="s">
        <v>303</v>
      </c>
      <c r="B11">
        <f>SUM(B4:B10)</f>
        <v>222</v>
      </c>
      <c r="C11">
        <f ca="1">SUM(C4:C10)</f>
        <v>51</v>
      </c>
      <c r="D11">
        <f t="shared" ref="D11:F11" ca="1" si="6">SUM(D4:D10)</f>
        <v>47</v>
      </c>
      <c r="E11">
        <f t="shared" ca="1" si="6"/>
        <v>42</v>
      </c>
      <c r="F11">
        <f t="shared" ca="1" si="6"/>
        <v>30</v>
      </c>
      <c r="G11">
        <f t="shared" ca="1" si="0"/>
        <v>0.22972972972972974</v>
      </c>
      <c r="H11">
        <f t="shared" ca="1" si="1"/>
        <v>0.21171171171171171</v>
      </c>
      <c r="I11">
        <f t="shared" ca="1" si="2"/>
        <v>0.1891891891891892</v>
      </c>
      <c r="J11">
        <f t="shared" ca="1" si="3"/>
        <v>0.13513513513513514</v>
      </c>
      <c r="K11" s="30">
        <f ca="1">($B$11/2-$E$11)/(($B$11/2-$E$11)+$C$11)</f>
        <v>0.57499999999999996</v>
      </c>
      <c r="L11" s="30">
        <f ca="1">($B$11/2-$F$11)/(($B$11/2-$F$11)+$D$11)</f>
        <v>0.6328125</v>
      </c>
      <c r="M11" s="30">
        <f ca="1">($B$11/2-$E$11)/($B$11/2)</f>
        <v>0.6216216216216216</v>
      </c>
      <c r="N11" s="30">
        <f ca="1">($B$11/2-$F$11)/($B$11/2)</f>
        <v>0.72972972972972971</v>
      </c>
      <c r="O11" s="30">
        <f ca="1">$K$11*$M$11*2/($K$11+$M$11)</f>
        <v>0.59740259740259727</v>
      </c>
      <c r="P11" s="30">
        <f ca="1">$L$11*$N$11*2/($L$11+$N$11)</f>
        <v>0.67782426778242666</v>
      </c>
      <c r="Q11" s="30">
        <f ca="1">($B$11-$C$11-$E$11)/$B$11</f>
        <v>0.58108108108108103</v>
      </c>
      <c r="R11" s="30">
        <f ca="1">($B$11-$D$11-$F$11)/$B$11</f>
        <v>0.65315315315315314</v>
      </c>
      <c r="T11" s="2" t="s">
        <v>293</v>
      </c>
      <c r="V11" s="31">
        <f ca="1">V6-U6</f>
        <v>4.7979797979798011E-2</v>
      </c>
      <c r="W11" s="31"/>
      <c r="X11" s="31">
        <f t="shared" ca="1" si="4"/>
        <v>0.14414414414414412</v>
      </c>
      <c r="Y11" s="31"/>
      <c r="Z11" s="31">
        <f t="shared" ca="1" si="4"/>
        <v>0.10622710622710629</v>
      </c>
      <c r="AB11" s="31">
        <f t="shared" ca="1" si="5"/>
        <v>7.6576576576576572E-2</v>
      </c>
    </row>
    <row r="13" spans="1:28">
      <c r="T13" s="36"/>
      <c r="U13" s="37"/>
      <c r="V13" s="37"/>
      <c r="W13" s="37"/>
      <c r="X13" s="37"/>
      <c r="Y13" s="37"/>
      <c r="Z13" s="37"/>
      <c r="AA13" s="37"/>
      <c r="AB13" s="37"/>
    </row>
    <row r="14" spans="1:28">
      <c r="A14" s="18" t="s">
        <v>304</v>
      </c>
      <c r="B14" s="19" t="s">
        <v>271</v>
      </c>
      <c r="C14" s="19" t="s">
        <v>305</v>
      </c>
      <c r="D14" s="19" t="s">
        <v>273</v>
      </c>
      <c r="E14" s="19" t="s">
        <v>274</v>
      </c>
      <c r="F14" s="19" t="s">
        <v>275</v>
      </c>
      <c r="G14" s="19" t="s">
        <v>276</v>
      </c>
      <c r="H14" s="20" t="s">
        <v>277</v>
      </c>
      <c r="I14" s="19" t="s">
        <v>278</v>
      </c>
      <c r="J14" s="19" t="s">
        <v>279</v>
      </c>
      <c r="K14" s="19" t="s">
        <v>280</v>
      </c>
      <c r="L14" s="19" t="s">
        <v>281</v>
      </c>
      <c r="M14" s="19" t="s">
        <v>282</v>
      </c>
      <c r="N14" s="19" t="s">
        <v>283</v>
      </c>
      <c r="O14" s="19" t="s">
        <v>284</v>
      </c>
      <c r="P14" s="19" t="s">
        <v>285</v>
      </c>
      <c r="Q14" s="19" t="s">
        <v>286</v>
      </c>
      <c r="R14" s="20" t="s">
        <v>287</v>
      </c>
      <c r="T14" s="36"/>
      <c r="U14" s="37"/>
      <c r="V14" s="37"/>
      <c r="W14" s="37"/>
      <c r="X14" s="37"/>
      <c r="Y14" s="38"/>
      <c r="Z14" s="38"/>
      <c r="AA14" s="38"/>
      <c r="AB14" s="38"/>
    </row>
    <row r="15" spans="1:28">
      <c r="A15" s="24" t="s">
        <v>288</v>
      </c>
      <c r="B15">
        <v>30</v>
      </c>
      <c r="C15">
        <f ca="1">Final_evaluation!$D$224</f>
        <v>5</v>
      </c>
      <c r="D15">
        <f ca="1">Final_evaluation!$E$224</f>
        <v>0</v>
      </c>
      <c r="E15">
        <f ca="1">Final_evaluation!$D$225</f>
        <v>3</v>
      </c>
      <c r="F15">
        <f ca="1">Final_evaluation!$E$225</f>
        <v>3</v>
      </c>
      <c r="G15">
        <f ca="1">C15/B15</f>
        <v>0.16666666666666666</v>
      </c>
      <c r="H15">
        <f ca="1">D15/B15</f>
        <v>0</v>
      </c>
      <c r="I15">
        <f ca="1">E15/B15</f>
        <v>0.1</v>
      </c>
      <c r="J15">
        <f ca="1">F15/B15</f>
        <v>0.1</v>
      </c>
      <c r="K15" s="30">
        <f ca="1">($B$15/2-$E$15)/(($B$15/2-$E$15)+$C$15)</f>
        <v>0.70588235294117652</v>
      </c>
      <c r="L15" s="30">
        <f ca="1">($B$15/2-$F$15)/(($B$15/2-$F$15)+$D$15)</f>
        <v>1</v>
      </c>
      <c r="M15" s="26">
        <f ca="1">($B$15/2-$E$15)/($B$15/2)</f>
        <v>0.8</v>
      </c>
      <c r="N15" s="26">
        <f ca="1">($B$15/2-$F$15)/($B$15/2)</f>
        <v>0.8</v>
      </c>
      <c r="O15" s="30">
        <f ca="1">$K$15*$M$15*2/($K$15+$M$15)</f>
        <v>0.75000000000000011</v>
      </c>
      <c r="P15" s="30">
        <f ca="1">$L$15*$N$15*2/($L$15+$N$15)</f>
        <v>0.88888888888888895</v>
      </c>
      <c r="Q15" s="30">
        <f ca="1">($B$15-$C$15-$E$15)/$B$15</f>
        <v>0.73333333333333328</v>
      </c>
      <c r="R15" s="30">
        <f ca="1">($B$15-$D$15-$F$15)/$B$15</f>
        <v>0.9</v>
      </c>
      <c r="T15" s="39"/>
      <c r="U15" s="40"/>
      <c r="V15" s="40"/>
      <c r="W15" s="40"/>
      <c r="X15" s="40"/>
      <c r="Y15" s="40"/>
      <c r="Z15" s="40"/>
      <c r="AA15" s="40"/>
      <c r="AB15" s="40"/>
    </row>
    <row r="16" spans="1:28">
      <c r="A16" s="24" t="s">
        <v>290</v>
      </c>
      <c r="B16">
        <v>30</v>
      </c>
      <c r="C16">
        <f ca="1">Final_evaluation!$D$226</f>
        <v>5</v>
      </c>
      <c r="D16">
        <f ca="1">Final_evaluation!$E$226</f>
        <v>5</v>
      </c>
      <c r="E16">
        <f ca="1">Final_evaluation!$D$227</f>
        <v>14</v>
      </c>
      <c r="F16">
        <f ca="1">Final_evaluation!$E$227</f>
        <v>12</v>
      </c>
      <c r="G16">
        <f t="shared" ref="G16:G22" ca="1" si="7">C16/B16</f>
        <v>0.16666666666666666</v>
      </c>
      <c r="H16">
        <f t="shared" ref="H16:H22" ca="1" si="8">D16/B16</f>
        <v>0.16666666666666666</v>
      </c>
      <c r="I16">
        <f ca="1">E16/B16</f>
        <v>0.46666666666666667</v>
      </c>
      <c r="J16">
        <f ca="1">F16/B16</f>
        <v>0.4</v>
      </c>
      <c r="K16" s="30">
        <f ca="1">($B$16/2-$E$16)/(($B$16/2-$E$16)+$C$16)</f>
        <v>0.16666666666666666</v>
      </c>
      <c r="L16" s="30">
        <f ca="1">($B$16/2-$F$16)/(($B$16/2-$F$16)+$D$16)</f>
        <v>0.375</v>
      </c>
      <c r="M16" s="30">
        <f ca="1">($B$16/2-$E$16)/($B$16/2)</f>
        <v>6.6666666666666666E-2</v>
      </c>
      <c r="N16" s="30">
        <f ca="1">($B$16/2-$F$16)/($B$16/2)</f>
        <v>0.2</v>
      </c>
      <c r="O16" s="30">
        <f ca="1">$K$16*$M$16*2/($K$16+$M$16)</f>
        <v>9.5238095238095219E-2</v>
      </c>
      <c r="P16" s="30">
        <f ca="1">$L$16*$N$16*2/($L$16+$N$16)</f>
        <v>0.26086956521739135</v>
      </c>
      <c r="Q16" s="30">
        <f ca="1">($B$16-$C$16-$E$16)/$B$16</f>
        <v>0.36666666666666664</v>
      </c>
      <c r="R16" s="30">
        <f ca="1">($B$16-$D$16-$F$16)/$B$16</f>
        <v>0.43333333333333335</v>
      </c>
      <c r="T16" s="39"/>
      <c r="U16" s="40"/>
      <c r="V16" s="40"/>
      <c r="W16" s="40"/>
      <c r="X16" s="40"/>
      <c r="Y16" s="40"/>
      <c r="Z16" s="40"/>
      <c r="AA16" s="40"/>
      <c r="AB16" s="40"/>
    </row>
    <row r="17" spans="1:31">
      <c r="A17" s="24" t="s">
        <v>292</v>
      </c>
      <c r="B17">
        <v>30</v>
      </c>
      <c r="C17">
        <f ca="1">Final_evaluation!$D$228</f>
        <v>2</v>
      </c>
      <c r="D17">
        <f ca="1">Final_evaluation!$E$228</f>
        <v>1</v>
      </c>
      <c r="E17">
        <f ca="1">Final_evaluation!$D$229</f>
        <v>8</v>
      </c>
      <c r="F17">
        <f ca="1">Final_evaluation!$E$229</f>
        <v>5</v>
      </c>
      <c r="G17">
        <f t="shared" ca="1" si="7"/>
        <v>6.6666666666666666E-2</v>
      </c>
      <c r="H17">
        <f t="shared" ca="1" si="8"/>
        <v>3.3333333333333333E-2</v>
      </c>
      <c r="I17">
        <f t="shared" ref="I17:I22" ca="1" si="9">E17/B17</f>
        <v>0.26666666666666666</v>
      </c>
      <c r="J17">
        <f t="shared" ref="J17:J22" ca="1" si="10">F17/B17</f>
        <v>0.16666666666666666</v>
      </c>
      <c r="K17" s="30">
        <f ca="1">($B$17/2-$E$17)/(($B$17/2-$E$17)+$C$17)</f>
        <v>0.77777777777777779</v>
      </c>
      <c r="L17" s="30">
        <f ca="1">($B$17/2-$F$17)/(($B$17/2-$F$17)+$D$17)</f>
        <v>0.90909090909090906</v>
      </c>
      <c r="M17" s="30">
        <f ca="1">($B$17/2-$E$17)/($B$17/2)</f>
        <v>0.46666666666666667</v>
      </c>
      <c r="N17" s="30">
        <f ca="1">($B$17/2-$F$17)/($B$17/2)</f>
        <v>0.66666666666666663</v>
      </c>
      <c r="O17" s="30">
        <f ca="1">$K$17*$M$17*2/($K$17+$M$17)</f>
        <v>0.58333333333333337</v>
      </c>
      <c r="P17" s="30">
        <f ca="1">$L$17*$N$17*2/($L$17+$N$17)</f>
        <v>0.76923076923076916</v>
      </c>
      <c r="Q17" s="30">
        <f ca="1">($B$17-$C$17-$E$17)/$B$17</f>
        <v>0.66666666666666663</v>
      </c>
      <c r="R17" s="30">
        <f ca="1">($B$17-$D$17-$F$17)/$B$17</f>
        <v>0.8</v>
      </c>
      <c r="T17" s="39"/>
      <c r="U17" s="40"/>
      <c r="V17" s="40"/>
      <c r="W17" s="40"/>
      <c r="X17" s="40"/>
      <c r="Y17" s="40"/>
      <c r="Z17" s="40"/>
      <c r="AA17" s="40"/>
      <c r="AB17" s="40"/>
    </row>
    <row r="18" spans="1:31">
      <c r="A18" s="24" t="s">
        <v>294</v>
      </c>
      <c r="B18">
        <v>30</v>
      </c>
      <c r="C18">
        <f ca="1">Final_evaluation!$D$230</f>
        <v>5</v>
      </c>
      <c r="D18">
        <f ca="1">Final_evaluation!$E$230</f>
        <v>2</v>
      </c>
      <c r="E18">
        <f ca="1">Final_evaluation!$D$231</f>
        <v>7</v>
      </c>
      <c r="F18">
        <f ca="1">Final_evaluation!$E$231</f>
        <v>6</v>
      </c>
      <c r="G18">
        <f t="shared" ca="1" si="7"/>
        <v>0.16666666666666666</v>
      </c>
      <c r="H18">
        <f t="shared" ca="1" si="8"/>
        <v>6.6666666666666666E-2</v>
      </c>
      <c r="I18">
        <f t="shared" ca="1" si="9"/>
        <v>0.23333333333333334</v>
      </c>
      <c r="J18">
        <f t="shared" ca="1" si="10"/>
        <v>0.2</v>
      </c>
      <c r="K18" s="30">
        <f ca="1">($B$18/2-$E$18)/(($B$18/2-$E$18)+$C$18)</f>
        <v>0.61538461538461542</v>
      </c>
      <c r="L18" s="30">
        <f ca="1">($B$18/2-$F$18)/(($B$18/2-$F$18)+$D$18)</f>
        <v>0.81818181818181823</v>
      </c>
      <c r="M18" s="30">
        <f ca="1">($B$18/2-$E$18)/($B$18/2)</f>
        <v>0.53333333333333333</v>
      </c>
      <c r="N18" s="30">
        <f ca="1">($B$18/2-$F$18)/($B$18/2)</f>
        <v>0.6</v>
      </c>
      <c r="O18" s="30">
        <f ca="1">$K$18*$M$18*2/($K$18+$M$18)</f>
        <v>0.57142857142857151</v>
      </c>
      <c r="P18" s="30">
        <f ca="1">$L$18*$N$18*2/($L$18+$N$18)</f>
        <v>0.69230769230769229</v>
      </c>
      <c r="Q18" s="30">
        <f ca="1">($B$18-$C$18-$E$18)/$B$18</f>
        <v>0.6</v>
      </c>
      <c r="R18" s="30">
        <f ca="1">($B$18-$D$18-$F$18)/$B$18</f>
        <v>0.73333333333333328</v>
      </c>
      <c r="T18" s="39"/>
      <c r="U18" s="39"/>
      <c r="V18" s="39"/>
      <c r="W18" s="39"/>
      <c r="X18" s="39"/>
      <c r="Y18" s="39"/>
      <c r="Z18" s="39"/>
      <c r="AA18" s="39"/>
      <c r="AB18" s="39"/>
    </row>
    <row r="19" spans="1:31">
      <c r="A19" s="24" t="s">
        <v>295</v>
      </c>
      <c r="B19">
        <v>30</v>
      </c>
      <c r="C19">
        <f ca="1">Final_evaluation!$D$232</f>
        <v>5</v>
      </c>
      <c r="D19">
        <f ca="1">Final_evaluation!$E$232</f>
        <v>2</v>
      </c>
      <c r="E19">
        <f ca="1">Final_evaluation!$D$233</f>
        <v>12</v>
      </c>
      <c r="F19">
        <f ca="1">Final_evaluation!$E$233</f>
        <v>11</v>
      </c>
      <c r="G19">
        <f t="shared" ca="1" si="7"/>
        <v>0.16666666666666666</v>
      </c>
      <c r="H19">
        <f t="shared" ca="1" si="8"/>
        <v>6.6666666666666666E-2</v>
      </c>
      <c r="I19">
        <f t="shared" ca="1" si="9"/>
        <v>0.4</v>
      </c>
      <c r="J19">
        <f t="shared" ca="1" si="10"/>
        <v>0.36666666666666664</v>
      </c>
      <c r="K19" s="30">
        <f ca="1">($B$19/2-$E$19)/(($B$19/2-$E$19)+$C$19)</f>
        <v>0.375</v>
      </c>
      <c r="L19" s="30">
        <f ca="1">($B$19/2-$F$19)/(($B$19/2-$F$19)+$D$19)</f>
        <v>0.66666666666666663</v>
      </c>
      <c r="M19" s="30">
        <f ca="1">($B$19/2-$E$19)/($B$19/2)</f>
        <v>0.2</v>
      </c>
      <c r="N19" s="30">
        <f ca="1">($B$19/2-$F$19)/($B$19/2)</f>
        <v>0.26666666666666666</v>
      </c>
      <c r="O19" s="30">
        <f ca="1">$K$19*$M$19*2/($K$19+$M$19)</f>
        <v>0.26086956521739135</v>
      </c>
      <c r="P19" s="30">
        <f ca="1">$L$19*$N$19*2/($L$19+$N$19)</f>
        <v>0.38095238095238088</v>
      </c>
      <c r="Q19" s="30">
        <f ca="1">($B$19-$C$19-$E$19)/$B$19</f>
        <v>0.43333333333333335</v>
      </c>
      <c r="R19" s="30">
        <f ca="1">($B$19-$D$19-$F$19)/$B$19</f>
        <v>0.56666666666666665</v>
      </c>
      <c r="T19" s="36"/>
      <c r="U19" s="37"/>
      <c r="V19" s="37"/>
      <c r="W19" s="37"/>
      <c r="X19" s="37"/>
      <c r="Y19" s="37"/>
      <c r="Z19" s="38"/>
      <c r="AA19" s="38"/>
      <c r="AB19" s="38"/>
      <c r="AC19" s="33"/>
      <c r="AD19" s="33"/>
    </row>
    <row r="20" spans="1:31">
      <c r="A20" s="24" t="s">
        <v>301</v>
      </c>
      <c r="B20">
        <v>32</v>
      </c>
      <c r="C20">
        <f ca="1">Final_evaluation!$D$234</f>
        <v>4</v>
      </c>
      <c r="D20">
        <f ca="1">Final_evaluation!$E$234</f>
        <v>2</v>
      </c>
      <c r="E20">
        <f ca="1">Final_evaluation!$D$235</f>
        <v>11</v>
      </c>
      <c r="F20">
        <f ca="1">Final_evaluation!$E$235</f>
        <v>10</v>
      </c>
      <c r="G20">
        <f t="shared" ca="1" si="7"/>
        <v>0.125</v>
      </c>
      <c r="H20">
        <f t="shared" ca="1" si="8"/>
        <v>6.25E-2</v>
      </c>
      <c r="I20">
        <f t="shared" ca="1" si="9"/>
        <v>0.34375</v>
      </c>
      <c r="J20">
        <f t="shared" ca="1" si="10"/>
        <v>0.3125</v>
      </c>
      <c r="K20" s="30">
        <f ca="1">($B$20/2-$E$20)/(($B$20/2-$E$20)+$C$20)</f>
        <v>0.55555555555555558</v>
      </c>
      <c r="L20" s="30">
        <f ca="1">($B$20/2-$F$20)/(($B$20/2-$F$20)+$D$20)</f>
        <v>0.75</v>
      </c>
      <c r="M20" s="30">
        <f ca="1">($B$20/2-$E$20)/($B$20/2)</f>
        <v>0.3125</v>
      </c>
      <c r="N20" s="30">
        <f ca="1">($B$20/2-$F$20)/($B$20/2)</f>
        <v>0.375</v>
      </c>
      <c r="O20" s="30">
        <f ca="1">$K$20*$M$20*2/($K$20+$M$20)</f>
        <v>0.39999999999999997</v>
      </c>
      <c r="P20" s="30">
        <f ca="1">$L$20*$N$20*2/($L$20+$N$20)</f>
        <v>0.5</v>
      </c>
      <c r="Q20" s="30">
        <f ca="1">($B$20-$C$20-$E$20)/$B$20</f>
        <v>0.53125</v>
      </c>
      <c r="R20" s="30">
        <f ca="1">($B$20-$D$20-$F$20)/$B$20</f>
        <v>0.625</v>
      </c>
      <c r="T20" s="36"/>
      <c r="U20" s="37"/>
      <c r="V20" s="37"/>
      <c r="W20" s="38"/>
      <c r="X20" s="38"/>
      <c r="Y20" s="39"/>
      <c r="Z20" s="41"/>
      <c r="AA20" s="41"/>
      <c r="AB20" s="41"/>
      <c r="AC20" s="34"/>
      <c r="AD20" s="32"/>
      <c r="AE20" s="33"/>
    </row>
    <row r="21" spans="1:31">
      <c r="A21" s="24" t="s">
        <v>302</v>
      </c>
      <c r="B21">
        <v>40</v>
      </c>
      <c r="C21">
        <f ca="1">Final_evaluation!$D$236</f>
        <v>1</v>
      </c>
      <c r="D21">
        <f ca="1">Final_evaluation!$E$236</f>
        <v>0</v>
      </c>
      <c r="E21">
        <f ca="1">Final_evaluation!$D$237</f>
        <v>0</v>
      </c>
      <c r="F21">
        <f ca="1">Final_evaluation!$E$237</f>
        <v>2</v>
      </c>
      <c r="G21">
        <f t="shared" ca="1" si="7"/>
        <v>2.5000000000000001E-2</v>
      </c>
      <c r="H21">
        <f t="shared" ca="1" si="8"/>
        <v>0</v>
      </c>
      <c r="I21">
        <f t="shared" ca="1" si="9"/>
        <v>0</v>
      </c>
      <c r="J21">
        <f t="shared" ca="1" si="10"/>
        <v>0.05</v>
      </c>
      <c r="K21" s="30">
        <f ca="1">($B$21/2-$E$21)/(($B$21/2-$E$21)+$C$21)</f>
        <v>0.95238095238095233</v>
      </c>
      <c r="L21" s="30">
        <f ca="1">($B$21/2-$F$21)/(($B$21/2-$F$21)+$D$21)</f>
        <v>1</v>
      </c>
      <c r="M21" s="25">
        <f ca="1">($B$21/2-$E$21)/($B$21/2)</f>
        <v>1</v>
      </c>
      <c r="N21" s="25">
        <f ca="1">($B$21/2-$F$21)/($B$21/2)</f>
        <v>0.9</v>
      </c>
      <c r="O21" s="25">
        <f ca="1">$K$21*$M$21*2/($K$21+$M$21)</f>
        <v>0.97560975609756095</v>
      </c>
      <c r="P21" s="25">
        <f ca="1">$L$21*$N$21*2/($L$21+$N$21)</f>
        <v>0.94736842105263164</v>
      </c>
      <c r="Q21" s="25">
        <f ca="1">($B$21-$C$21-$E$21)/$B$21</f>
        <v>0.97499999999999998</v>
      </c>
      <c r="R21" s="25">
        <f ca="1">($B$21-$D$21-$F$21)/$B$21</f>
        <v>0.95</v>
      </c>
      <c r="T21" s="39"/>
      <c r="U21" s="40"/>
      <c r="V21" s="40"/>
      <c r="W21" s="40"/>
      <c r="X21" s="40"/>
      <c r="Y21" s="39"/>
      <c r="Z21" s="41"/>
      <c r="AA21" s="40"/>
      <c r="AB21" s="40"/>
      <c r="AC21" s="31"/>
      <c r="AE21" s="32"/>
    </row>
    <row r="22" spans="1:31">
      <c r="A22" s="24" t="s">
        <v>303</v>
      </c>
      <c r="B22">
        <f>SUM(B15:B21)</f>
        <v>222</v>
      </c>
      <c r="C22">
        <f ca="1">SUM(C15:C21)</f>
        <v>27</v>
      </c>
      <c r="D22">
        <f t="shared" ref="D22:F22" ca="1" si="11">SUM(D15:D21)</f>
        <v>12</v>
      </c>
      <c r="E22">
        <f t="shared" ca="1" si="11"/>
        <v>55</v>
      </c>
      <c r="F22">
        <f t="shared" ca="1" si="11"/>
        <v>49</v>
      </c>
      <c r="G22">
        <f t="shared" ca="1" si="7"/>
        <v>0.12162162162162163</v>
      </c>
      <c r="H22">
        <f t="shared" ca="1" si="8"/>
        <v>5.4054054054054057E-2</v>
      </c>
      <c r="I22">
        <f t="shared" ca="1" si="9"/>
        <v>0.24774774774774774</v>
      </c>
      <c r="J22">
        <f t="shared" ca="1" si="10"/>
        <v>0.22072072072072071</v>
      </c>
      <c r="K22" s="30">
        <f ca="1">($B$22/2-$E$22)/(($B$22/2-$E$22)+$C$22)</f>
        <v>0.67469879518072284</v>
      </c>
      <c r="L22" s="30">
        <f ca="1">($B$22/2-$F$22)/(($B$22/2-$F$22)+$D$22)</f>
        <v>0.83783783783783783</v>
      </c>
      <c r="M22" s="30">
        <f ca="1">($B$22/2-$E$22)/($B$22/2)</f>
        <v>0.50450450450450446</v>
      </c>
      <c r="N22" s="30">
        <f ca="1">($B$22/2-$F$22)/($B$22/2)</f>
        <v>0.55855855855855852</v>
      </c>
      <c r="O22" s="30">
        <f ca="1">$K$22*$M$22*2/($K$22+$M$22)</f>
        <v>0.57731958762886593</v>
      </c>
      <c r="P22" s="30">
        <f ca="1">$L$22*$N$22*2/($L$22+$N$22)</f>
        <v>0.6702702702702702</v>
      </c>
      <c r="Q22" s="30">
        <f ca="1">($B$22-$C$22-$E$22)/$B$22</f>
        <v>0.63063063063063063</v>
      </c>
      <c r="R22" s="30">
        <f ca="1">($B$22-$D$22-$F$22)/$B$22</f>
        <v>0.72522522522522526</v>
      </c>
      <c r="T22" s="39"/>
      <c r="U22" s="40"/>
      <c r="V22" s="40"/>
      <c r="W22" s="40"/>
      <c r="X22" s="40"/>
      <c r="Y22" s="39"/>
      <c r="Z22" s="41"/>
      <c r="AA22" s="42"/>
      <c r="AB22" s="42"/>
      <c r="AC22" s="35"/>
      <c r="AD22" s="35"/>
    </row>
    <row r="23" spans="1:31">
      <c r="T23" s="39"/>
      <c r="U23" s="40"/>
      <c r="V23" s="40"/>
      <c r="W23" s="40"/>
      <c r="X23" s="40"/>
      <c r="Y23" s="39"/>
      <c r="Z23" s="39"/>
      <c r="AA23" s="39"/>
      <c r="AB23" s="39"/>
      <c r="AE23" s="35"/>
    </row>
    <row r="24" spans="1:31">
      <c r="T24" s="39"/>
      <c r="U24" s="39"/>
      <c r="V24" s="39"/>
      <c r="W24" s="39"/>
      <c r="X24" s="39"/>
      <c r="Y24" s="39"/>
      <c r="Z24" s="39"/>
      <c r="AA24" s="39"/>
      <c r="AB24" s="39"/>
    </row>
    <row r="25" spans="1:31">
      <c r="A25" s="18" t="s">
        <v>306</v>
      </c>
      <c r="B25" s="19" t="s">
        <v>271</v>
      </c>
      <c r="C25" s="19" t="s">
        <v>272</v>
      </c>
      <c r="D25" s="19" t="s">
        <v>273</v>
      </c>
      <c r="E25" s="19" t="s">
        <v>274</v>
      </c>
      <c r="F25" s="19" t="s">
        <v>275</v>
      </c>
      <c r="G25" s="19" t="s">
        <v>276</v>
      </c>
      <c r="H25" s="20" t="s">
        <v>277</v>
      </c>
      <c r="I25" s="19" t="s">
        <v>278</v>
      </c>
      <c r="J25" s="19" t="s">
        <v>279</v>
      </c>
      <c r="K25" s="19" t="s">
        <v>280</v>
      </c>
      <c r="L25" s="19" t="s">
        <v>281</v>
      </c>
      <c r="M25" s="19" t="s">
        <v>282</v>
      </c>
      <c r="N25" s="19" t="s">
        <v>283</v>
      </c>
      <c r="O25" s="19" t="s">
        <v>284</v>
      </c>
      <c r="P25" s="19" t="s">
        <v>285</v>
      </c>
      <c r="Q25" s="19" t="s">
        <v>286</v>
      </c>
      <c r="R25" s="20" t="s">
        <v>287</v>
      </c>
    </row>
    <row r="26" spans="1:31">
      <c r="A26" s="24" t="s">
        <v>288</v>
      </c>
      <c r="B26">
        <v>30</v>
      </c>
      <c r="C26">
        <f ca="1">Final_evaluation!$F$224</f>
        <v>3</v>
      </c>
      <c r="D26">
        <f ca="1">Final_evaluation!$G$224</f>
        <v>2</v>
      </c>
      <c r="E26">
        <f ca="1">Final_evaluation!$F$225</f>
        <v>4</v>
      </c>
      <c r="F26">
        <f ca="1">Final_evaluation!$G$225</f>
        <v>3</v>
      </c>
      <c r="G26">
        <f ca="1">C26/B26</f>
        <v>0.1</v>
      </c>
      <c r="H26">
        <f ca="1">D26/B26</f>
        <v>6.6666666666666666E-2</v>
      </c>
      <c r="I26">
        <f ca="1">E26/B26</f>
        <v>0.13333333333333333</v>
      </c>
      <c r="J26">
        <f ca="1">F26/B26</f>
        <v>0.1</v>
      </c>
      <c r="K26" s="30">
        <f ca="1">($B$26/2-$E$26)/(($B$26/2-$E$26)+$C$26)</f>
        <v>0.7857142857142857</v>
      </c>
      <c r="L26" s="30">
        <f ca="1">($B$26/2-$F$26)/(($B$26/2-$F$26)+$D$26)</f>
        <v>0.8571428571428571</v>
      </c>
      <c r="M26" s="30">
        <f ca="1">($B$26/2-$E$26)/($B$26/2)</f>
        <v>0.73333333333333328</v>
      </c>
      <c r="N26" s="30">
        <f ca="1">($B$26/2-$F$26)/($B$26/2)</f>
        <v>0.8</v>
      </c>
      <c r="O26" s="30">
        <f ca="1">$K$26*$M$26*2/($K$26+$M$26)</f>
        <v>0.75862068965517238</v>
      </c>
      <c r="P26" s="30">
        <f ca="1">$L$26*$N$26*2/($L$26+$N$26)</f>
        <v>0.82758620689655182</v>
      </c>
      <c r="Q26" s="30">
        <f ca="1">($B$26-$C$26-$E$26)/$B$26</f>
        <v>0.76666666666666672</v>
      </c>
      <c r="R26" s="30">
        <f ca="1">($B$26-$D$26-$F$26)/$B$26</f>
        <v>0.83333333333333337</v>
      </c>
    </row>
    <row r="27" spans="1:31">
      <c r="A27" s="24" t="s">
        <v>290</v>
      </c>
      <c r="B27">
        <v>30</v>
      </c>
      <c r="C27">
        <f ca="1">Final_evaluation!$F$226</f>
        <v>3</v>
      </c>
      <c r="D27">
        <f ca="1">Final_evaluation!$G$226</f>
        <v>5</v>
      </c>
      <c r="E27">
        <f ca="1">Final_evaluation!$F$227</f>
        <v>11</v>
      </c>
      <c r="F27">
        <f ca="1">Final_evaluation!$G$227</f>
        <v>6</v>
      </c>
      <c r="G27">
        <f t="shared" ref="G27:G33" ca="1" si="12">C27/B27</f>
        <v>0.1</v>
      </c>
      <c r="H27">
        <f t="shared" ref="H27:H33" ca="1" si="13">D27/B27</f>
        <v>0.16666666666666666</v>
      </c>
      <c r="I27">
        <f ca="1">E27/B27</f>
        <v>0.36666666666666664</v>
      </c>
      <c r="J27">
        <f ca="1">F27/B27</f>
        <v>0.2</v>
      </c>
      <c r="K27" s="30">
        <f ca="1">($B$27/2-$E$27)/(($B$27/2-$E$27)+$C$27)</f>
        <v>0.5714285714285714</v>
      </c>
      <c r="L27" s="30">
        <f ca="1">($B$27/2-$F$27)/(($B$27/2-$F$27)+$D$27)</f>
        <v>0.6428571428571429</v>
      </c>
      <c r="M27" s="30">
        <f ca="1">($B$27/2-$E$27)/($B$27/2)</f>
        <v>0.26666666666666666</v>
      </c>
      <c r="N27" s="30">
        <f ca="1">($B$27/2-$F$27)/($B$27/2)</f>
        <v>0.6</v>
      </c>
      <c r="O27" s="30">
        <f ca="1">$K$27*$M$27*2/($K$27+$M$27)</f>
        <v>0.36363636363636365</v>
      </c>
      <c r="P27" s="30">
        <f ca="1">$L$27*$N$27*2/($L$27+$N$27)</f>
        <v>0.62068965517241381</v>
      </c>
      <c r="Q27" s="30">
        <f ca="1">($B$27-$C$27-$E$27)/$B$27</f>
        <v>0.53333333333333333</v>
      </c>
      <c r="R27" s="30">
        <f ca="1">($B$27-$D$27-$F$27)/$B$27</f>
        <v>0.6333333333333333</v>
      </c>
    </row>
    <row r="28" spans="1:31">
      <c r="A28" s="24" t="s">
        <v>292</v>
      </c>
      <c r="B28">
        <v>30</v>
      </c>
      <c r="C28">
        <f ca="1">Final_evaluation!$F$228</f>
        <v>2</v>
      </c>
      <c r="D28">
        <f ca="1">Final_evaluation!$G$228</f>
        <v>3</v>
      </c>
      <c r="E28">
        <f ca="1">Final_evaluation!$F$229</f>
        <v>4</v>
      </c>
      <c r="F28">
        <f ca="1">Final_evaluation!$G$229</f>
        <v>1</v>
      </c>
      <c r="G28">
        <f t="shared" ca="1" si="12"/>
        <v>6.6666666666666666E-2</v>
      </c>
      <c r="H28">
        <f t="shared" ca="1" si="13"/>
        <v>0.1</v>
      </c>
      <c r="I28">
        <f t="shared" ref="I28:I33" ca="1" si="14">E28/B28</f>
        <v>0.13333333333333333</v>
      </c>
      <c r="J28">
        <f t="shared" ref="J28:J33" ca="1" si="15">F28/B28</f>
        <v>3.3333333333333333E-2</v>
      </c>
      <c r="K28" s="25">
        <f ca="1">($B$28/2-$E$28)/(($B$28/2-$E$28)+$C$28)</f>
        <v>0.84615384615384615</v>
      </c>
      <c r="L28" s="25">
        <f ca="1">($B$28/2-$F$28)/(($B$28/2-$F$28)+$D$28)</f>
        <v>0.82352941176470584</v>
      </c>
      <c r="M28" s="30">
        <f ca="1">($B$28/2-$E$28)/($B$28/2)</f>
        <v>0.73333333333333328</v>
      </c>
      <c r="N28" s="30">
        <f ca="1">($B$28/2-$F$28)/($B$28/2)</f>
        <v>0.93333333333333335</v>
      </c>
      <c r="O28" s="30">
        <f ca="1">$K$28*$M$28*2/($K$28+$M$28)</f>
        <v>0.78571428571428559</v>
      </c>
      <c r="P28" s="30">
        <f ca="1">$L$28*$N$28*2/($L$28+$N$28)</f>
        <v>0.87499999999999989</v>
      </c>
      <c r="Q28" s="30">
        <f ca="1">($B$28-$C$28-$E$28)/$B$28</f>
        <v>0.8</v>
      </c>
      <c r="R28" s="30">
        <f ca="1">($B$28-$D$28-$F$28)/$B$28</f>
        <v>0.8666666666666667</v>
      </c>
    </row>
    <row r="29" spans="1:31">
      <c r="A29" s="24" t="s">
        <v>294</v>
      </c>
      <c r="B29">
        <v>30</v>
      </c>
      <c r="C29">
        <f ca="1">Final_evaluation!$F$230</f>
        <v>5</v>
      </c>
      <c r="D29">
        <f ca="1">Final_evaluation!$G$230</f>
        <v>2</v>
      </c>
      <c r="E29">
        <f ca="1">Final_evaluation!$F$231</f>
        <v>11</v>
      </c>
      <c r="F29">
        <f ca="1">Final_evaluation!$G$231</f>
        <v>8</v>
      </c>
      <c r="G29">
        <f t="shared" ca="1" si="12"/>
        <v>0.16666666666666666</v>
      </c>
      <c r="H29">
        <f t="shared" ca="1" si="13"/>
        <v>6.6666666666666666E-2</v>
      </c>
      <c r="I29">
        <f t="shared" ca="1" si="14"/>
        <v>0.36666666666666664</v>
      </c>
      <c r="J29">
        <f t="shared" ca="1" si="15"/>
        <v>0.26666666666666666</v>
      </c>
      <c r="K29" s="30">
        <f ca="1">($B$29/2-$E$29)/(($B$29/2-$E$29)+$C$29)</f>
        <v>0.44444444444444442</v>
      </c>
      <c r="L29" s="30">
        <f ca="1">($B$29/2-$F$29)/(($B$29/2-$F$29)+$D$29)</f>
        <v>0.77777777777777779</v>
      </c>
      <c r="M29" s="30">
        <f ca="1">($B$29/2-$E$29)/($B$29/2)</f>
        <v>0.26666666666666666</v>
      </c>
      <c r="N29" s="30">
        <f ca="1">($B$29/2-$F$29)/($B$29/2)</f>
        <v>0.46666666666666667</v>
      </c>
      <c r="O29" s="30">
        <f ca="1">$K$29*$M$29*2/($K$29+$M$29)</f>
        <v>0.33333333333333337</v>
      </c>
      <c r="P29" s="30">
        <f ca="1">$L$29*$N$29*2/($L$29+$N$29)</f>
        <v>0.58333333333333337</v>
      </c>
      <c r="Q29" s="30">
        <f ca="1">($B$29-$C$29-$E$29)/$B$29</f>
        <v>0.46666666666666667</v>
      </c>
      <c r="R29" s="30">
        <f ca="1">($B$29-$D$29-$F$29)/$B$29</f>
        <v>0.66666666666666663</v>
      </c>
    </row>
    <row r="30" spans="1:31">
      <c r="A30" s="24" t="s">
        <v>295</v>
      </c>
      <c r="B30">
        <v>30</v>
      </c>
      <c r="C30">
        <f ca="1">Final_evaluation!$F$232</f>
        <v>4</v>
      </c>
      <c r="D30">
        <f ca="1">Final_evaluation!$G$232</f>
        <v>3</v>
      </c>
      <c r="E30">
        <f ca="1">Final_evaluation!$F$233</f>
        <v>6</v>
      </c>
      <c r="F30">
        <f ca="1">Final_evaluation!$G$233</f>
        <v>7</v>
      </c>
      <c r="G30">
        <f t="shared" ca="1" si="12"/>
        <v>0.13333333333333333</v>
      </c>
      <c r="H30">
        <f t="shared" ca="1" si="13"/>
        <v>0.1</v>
      </c>
      <c r="I30">
        <f t="shared" ca="1" si="14"/>
        <v>0.2</v>
      </c>
      <c r="J30">
        <f t="shared" ca="1" si="15"/>
        <v>0.23333333333333334</v>
      </c>
      <c r="K30" s="30">
        <f ca="1">($B$30/2-$E$30)/(($B$30/2-$E$30)+$C$30)</f>
        <v>0.69230769230769229</v>
      </c>
      <c r="L30" s="30">
        <f ca="1">($B$30/2-$F$30)/(($B$30/2-$F$30)+$D$30)</f>
        <v>0.72727272727272729</v>
      </c>
      <c r="M30" s="25">
        <f ca="1">($B$30/2-$E$30)/($B$30/2)</f>
        <v>0.6</v>
      </c>
      <c r="N30" s="25">
        <f ca="1">($B$30/2-$F$30)/($B$30/2)</f>
        <v>0.53333333333333333</v>
      </c>
      <c r="O30" s="25">
        <f ca="1">$K$30*$M$30*2/($K$30+$M$30)</f>
        <v>0.6428571428571429</v>
      </c>
      <c r="P30" s="25">
        <f ca="1">$L$30*$N$30*2/($L$30+$N$30)</f>
        <v>0.61538461538461531</v>
      </c>
      <c r="Q30" s="30">
        <f ca="1">($B$30-$C$30-$E$30)/$B$30</f>
        <v>0.66666666666666663</v>
      </c>
      <c r="R30" s="30">
        <f ca="1">($B$30-$D$30-$F$30)/$B$30</f>
        <v>0.66666666666666663</v>
      </c>
    </row>
    <row r="31" spans="1:31">
      <c r="A31" s="24" t="s">
        <v>301</v>
      </c>
      <c r="B31">
        <v>32</v>
      </c>
      <c r="C31">
        <f ca="1">Final_evaluation!$F$234</f>
        <v>3</v>
      </c>
      <c r="D31">
        <f ca="1">Final_evaluation!$G$234</f>
        <v>4</v>
      </c>
      <c r="E31">
        <f ca="1">Final_evaluation!$F$235</f>
        <v>9</v>
      </c>
      <c r="F31">
        <f ca="1">Final_evaluation!$G$235</f>
        <v>6</v>
      </c>
      <c r="G31">
        <f t="shared" ca="1" si="12"/>
        <v>9.375E-2</v>
      </c>
      <c r="H31">
        <f t="shared" ca="1" si="13"/>
        <v>0.125</v>
      </c>
      <c r="I31">
        <f t="shared" ca="1" si="14"/>
        <v>0.28125</v>
      </c>
      <c r="J31">
        <f t="shared" ca="1" si="15"/>
        <v>0.1875</v>
      </c>
      <c r="K31" s="30">
        <f ca="1">($B$31/2-$E$31)/(($B$31/2-$E$31)+$C$31)</f>
        <v>0.7</v>
      </c>
      <c r="L31" s="30">
        <f ca="1">($B$31/2-$F$31)/(($B$31/2-$F$31)+$D$31)</f>
        <v>0.7142857142857143</v>
      </c>
      <c r="M31" s="30">
        <f ca="1">($B$31/2-$E$31)/($B$31/2)</f>
        <v>0.4375</v>
      </c>
      <c r="N31" s="30">
        <f ca="1">($B$31/2-$F$31)/($B$31/2)</f>
        <v>0.625</v>
      </c>
      <c r="O31" s="30">
        <f ca="1">$K$31*$M$31*2/($K$31+$M$31)</f>
        <v>0.53846153846153844</v>
      </c>
      <c r="P31" s="30">
        <f ca="1">$L$31*$N$31*2/($L$31+$N$31)</f>
        <v>0.66666666666666663</v>
      </c>
      <c r="Q31" s="30">
        <f ca="1">($B$31-$C$31-$E$31)/$B$31</f>
        <v>0.625</v>
      </c>
      <c r="R31" s="30">
        <f ca="1">($B$31-$D$31-$F$31)/$B$31</f>
        <v>0.6875</v>
      </c>
    </row>
    <row r="32" spans="1:31">
      <c r="A32" s="24" t="s">
        <v>302</v>
      </c>
      <c r="B32">
        <v>40</v>
      </c>
      <c r="C32">
        <f ca="1">Final_evaluation!$F$236</f>
        <v>1</v>
      </c>
      <c r="D32">
        <f ca="1">Final_evaluation!$G$236</f>
        <v>1</v>
      </c>
      <c r="E32">
        <f ca="1">Final_evaluation!$F$237</f>
        <v>3</v>
      </c>
      <c r="F32">
        <f ca="1">Final_evaluation!$G$237</f>
        <v>1</v>
      </c>
      <c r="G32">
        <f t="shared" ca="1" si="12"/>
        <v>2.5000000000000001E-2</v>
      </c>
      <c r="H32">
        <f t="shared" ca="1" si="13"/>
        <v>2.5000000000000001E-2</v>
      </c>
      <c r="I32">
        <f t="shared" ca="1" si="14"/>
        <v>7.4999999999999997E-2</v>
      </c>
      <c r="J32">
        <f t="shared" ca="1" si="15"/>
        <v>2.5000000000000001E-2</v>
      </c>
      <c r="K32" s="30">
        <f ca="1">($B$32/2-$E$32)/(($B$32/2-$E$32)+$C$32)</f>
        <v>0.94444444444444442</v>
      </c>
      <c r="L32" s="30">
        <f ca="1">($B$32/2-$F$32)/(($B$32/2-$F$32)+$D$32)</f>
        <v>0.95</v>
      </c>
      <c r="M32" s="30">
        <f ca="1">($B$32/2-$E$32)/($B$32/2)</f>
        <v>0.85</v>
      </c>
      <c r="N32" s="30">
        <f ca="1">($B$32/2-$F$32)/($B$32/2)</f>
        <v>0.95</v>
      </c>
      <c r="O32" s="30">
        <f ca="1">$K$32*$M$32*2/($K$32+$M$32)</f>
        <v>0.89473684210526316</v>
      </c>
      <c r="P32" s="30">
        <f ca="1">$L$32*$N$32*2/($L$32+$N$32)</f>
        <v>0.95000000000000007</v>
      </c>
      <c r="Q32" s="30">
        <f ca="1">($B$32-$C$32-$E$32)/$B$32</f>
        <v>0.9</v>
      </c>
      <c r="R32" s="30">
        <f ca="1">($B$32-$D$32-$F$32)/$B$32</f>
        <v>0.95</v>
      </c>
    </row>
    <row r="33" spans="1:18">
      <c r="A33" s="24" t="s">
        <v>303</v>
      </c>
      <c r="B33">
        <f>SUM(B26:B32)</f>
        <v>222</v>
      </c>
      <c r="C33">
        <f ca="1">SUM(C26:C32)</f>
        <v>21</v>
      </c>
      <c r="D33">
        <f t="shared" ref="D33:F33" ca="1" si="16">SUM(D26:D32)</f>
        <v>20</v>
      </c>
      <c r="E33">
        <f t="shared" ca="1" si="16"/>
        <v>48</v>
      </c>
      <c r="F33">
        <f t="shared" ca="1" si="16"/>
        <v>32</v>
      </c>
      <c r="G33">
        <f t="shared" ca="1" si="12"/>
        <v>9.45945945945946E-2</v>
      </c>
      <c r="H33">
        <f t="shared" ca="1" si="13"/>
        <v>9.0090090090090086E-2</v>
      </c>
      <c r="I33">
        <f t="shared" ca="1" si="14"/>
        <v>0.21621621621621623</v>
      </c>
      <c r="J33">
        <f t="shared" ca="1" si="15"/>
        <v>0.14414414414414414</v>
      </c>
      <c r="K33" s="30">
        <f ca="1">($B$33/2-$E$33)/(($B$33/2-$E$33)+$C$33)</f>
        <v>0.75</v>
      </c>
      <c r="L33" s="30">
        <f ca="1">($B$33/2-$F$33)/(($B$33/2-$F$33)+$D$33)</f>
        <v>0.79797979797979801</v>
      </c>
      <c r="M33" s="30">
        <f ca="1">($B$33/2-$E$33)/($B$33/2)</f>
        <v>0.56756756756756754</v>
      </c>
      <c r="N33" s="30">
        <f ca="1">($B$33/2-$F$33)/($B$33/2)</f>
        <v>0.71171171171171166</v>
      </c>
      <c r="O33" s="30">
        <f ca="1">$K$33*$M$33*2/($K$33+$M$33)</f>
        <v>0.64615384615384619</v>
      </c>
      <c r="P33" s="30">
        <f ca="1">$L$33*$N$33*2/($L$33+$N$33)</f>
        <v>0.75238095238095248</v>
      </c>
      <c r="Q33" s="30">
        <f ca="1">($B$33-$C$33-$E$33)/$B$33</f>
        <v>0.68918918918918914</v>
      </c>
      <c r="R33" s="30">
        <f ca="1">($B$33-$D$33-$F$33)/$B$33</f>
        <v>0.76576576576576572</v>
      </c>
    </row>
  </sheetData>
  <mergeCells count="2">
    <mergeCell ref="T2:T3"/>
    <mergeCell ref="U2:A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2025-08-26T07:35:11Z</dcterms:created>
  <dcterms:modified xsi:type="dcterms:W3CDTF">2026-02-06T10:42:16Z</dcterms:modified>
  <cp:category/>
  <cp:contentStatus/>
</cp:coreProperties>
</file>